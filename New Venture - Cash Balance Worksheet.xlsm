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e8a687c6b899c71/Desktop/UNI1B/BU121/"/>
    </mc:Choice>
  </mc:AlternateContent>
  <xr:revisionPtr revIDLastSave="2167" documentId="8_{01C9EDAA-7BDC-4990-AFAF-617D08884E9E}" xr6:coauthVersionLast="47" xr6:coauthVersionMax="47" xr10:uidLastSave="{E4F6D1CD-2A94-4BBD-9EAE-5761AE24BD0C}"/>
  <bookViews>
    <workbookView xWindow="-98" yWindow="-98" windowWidth="21795" windowHeight="13875" activeTab="5" xr2:uid="{1EA91450-3325-4F50-B63D-858136ACFB99}"/>
  </bookViews>
  <sheets>
    <sheet name="Sales Forecast " sheetId="7" r:id="rId1"/>
    <sheet name="Cash Budget" sheetId="8" r:id="rId2"/>
    <sheet name="Reciepts" sheetId="2" r:id="rId3"/>
    <sheet name="Disbursements" sheetId="9" r:id="rId4"/>
    <sheet name="Summary" sheetId="4" r:id="rId5"/>
    <sheet name="Graphs" sheetId="11" r:id="rId6"/>
  </sheets>
  <definedNames>
    <definedName name="_xlchart.v5.0" hidden="1">'Cash Budget'!$D$30:$AA$30</definedName>
    <definedName name="_xlchart.v5.1" hidden="1">'Cash Budget'!$D$6:$AA$6</definedName>
    <definedName name="_xlchart.v5.2" hidden="1">'Cash Budget'!$D$30:$AA$30</definedName>
    <definedName name="_xlchart.v5.3" hidden="1">'Cash Budget'!$D$6:$AA$6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4" l="1"/>
  <c r="H33" i="4"/>
  <c r="H30" i="4"/>
  <c r="H29" i="4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D24" i="8"/>
  <c r="E14" i="8"/>
  <c r="F14" i="8" s="1"/>
  <c r="G14" i="8" s="1"/>
  <c r="H14" i="8" s="1"/>
  <c r="I14" i="8" s="1"/>
  <c r="J14" i="8" s="1"/>
  <c r="K14" i="8" s="1"/>
  <c r="L14" i="8" s="1"/>
  <c r="M14" i="8" s="1"/>
  <c r="N14" i="8" s="1"/>
  <c r="O14" i="8" s="1"/>
  <c r="P14" i="8" s="1"/>
  <c r="Q14" i="8" s="1"/>
  <c r="R14" i="8" s="1"/>
  <c r="S14" i="8" s="1"/>
  <c r="T14" i="8" s="1"/>
  <c r="U14" i="8" s="1"/>
  <c r="V14" i="8" s="1"/>
  <c r="W14" i="8" s="1"/>
  <c r="X14" i="8" s="1"/>
  <c r="Y14" i="8" s="1"/>
  <c r="Z14" i="8" s="1"/>
  <c r="AA14" i="8" s="1"/>
  <c r="H13" i="8"/>
  <c r="I13" i="8" s="1"/>
  <c r="J13" i="8" s="1"/>
  <c r="K13" i="8" s="1"/>
  <c r="L13" i="8" s="1"/>
  <c r="G13" i="8"/>
  <c r="D13" i="8"/>
  <c r="E13" i="8" s="1"/>
  <c r="F13" i="8" s="1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D18" i="8" s="1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D9" i="8" s="1"/>
  <c r="D20" i="8" s="1"/>
  <c r="H15" i="9"/>
  <c r="I15" i="9"/>
  <c r="J15" i="9"/>
  <c r="K15" i="9"/>
  <c r="L15" i="9"/>
  <c r="M15" i="9"/>
  <c r="N15" i="9"/>
  <c r="O15" i="9"/>
  <c r="P15" i="9"/>
  <c r="Q15" i="9"/>
  <c r="R15" i="9"/>
  <c r="G15" i="9"/>
  <c r="R9" i="9"/>
  <c r="H9" i="9"/>
  <c r="I9" i="9"/>
  <c r="J9" i="9"/>
  <c r="K9" i="9"/>
  <c r="L9" i="9"/>
  <c r="M9" i="9"/>
  <c r="N9" i="9"/>
  <c r="O9" i="9"/>
  <c r="P9" i="9"/>
  <c r="Q9" i="9"/>
  <c r="G9" i="9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D7" i="2"/>
  <c r="D23" i="8" l="1"/>
  <c r="D26" i="8"/>
  <c r="E7" i="8" s="1"/>
  <c r="E9" i="8" s="1"/>
  <c r="D22" i="8"/>
  <c r="D25" i="8" s="1"/>
  <c r="E17" i="8" s="1"/>
  <c r="M13" i="8"/>
  <c r="E18" i="8"/>
  <c r="R16" i="9"/>
  <c r="Q16" i="9"/>
  <c r="P16" i="9"/>
  <c r="O16" i="9"/>
  <c r="N16" i="9"/>
  <c r="M16" i="9"/>
  <c r="L16" i="9"/>
  <c r="K16" i="9"/>
  <c r="J16" i="9"/>
  <c r="I16" i="9"/>
  <c r="H16" i="9"/>
  <c r="G16" i="9"/>
  <c r="R10" i="9"/>
  <c r="Q10" i="9"/>
  <c r="P10" i="9"/>
  <c r="O10" i="9"/>
  <c r="N10" i="9"/>
  <c r="M10" i="9"/>
  <c r="L10" i="9"/>
  <c r="K10" i="9"/>
  <c r="J10" i="9"/>
  <c r="I10" i="9"/>
  <c r="H10" i="9"/>
  <c r="G10" i="9"/>
  <c r="D10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H35" i="4"/>
  <c r="H31" i="4"/>
  <c r="H27" i="4"/>
  <c r="H73" i="4"/>
  <c r="H68" i="4"/>
  <c r="H70" i="4" s="1"/>
  <c r="H74" i="4" s="1"/>
  <c r="H62" i="4"/>
  <c r="H64" i="4" s="1"/>
  <c r="H59" i="4"/>
  <c r="H10" i="4"/>
  <c r="H12" i="4" s="1"/>
  <c r="H16" i="4"/>
  <c r="H18" i="4" s="1"/>
  <c r="H7" i="4"/>
  <c r="E20" i="8" l="1"/>
  <c r="N13" i="8"/>
  <c r="D12" i="7"/>
  <c r="D11" i="7"/>
  <c r="D22" i="7" s="1"/>
  <c r="H71" i="4"/>
  <c r="H75" i="4" s="1"/>
  <c r="H19" i="4"/>
  <c r="O13" i="8" l="1"/>
  <c r="E23" i="8"/>
  <c r="E24" i="8" s="1"/>
  <c r="E26" i="8"/>
  <c r="F7" i="8" s="1"/>
  <c r="F9" i="8" s="1"/>
  <c r="E22" i="8"/>
  <c r="E25" i="8" s="1"/>
  <c r="F17" i="8" s="1"/>
  <c r="F18" i="8" s="1"/>
  <c r="E17" i="7"/>
  <c r="D16" i="7"/>
  <c r="D15" i="7"/>
  <c r="D19" i="7" s="1"/>
  <c r="E18" i="7"/>
  <c r="D27" i="7"/>
  <c r="H76" i="4"/>
  <c r="F20" i="8" l="1"/>
  <c r="P13" i="8"/>
  <c r="D21" i="7"/>
  <c r="Q13" i="8" l="1"/>
  <c r="F23" i="8"/>
  <c r="F24" i="8" s="1"/>
  <c r="F26" i="8" s="1"/>
  <c r="G7" i="8" s="1"/>
  <c r="G9" i="8" s="1"/>
  <c r="G20" i="8" s="1"/>
  <c r="F22" i="8"/>
  <c r="F25" i="8" s="1"/>
  <c r="G17" i="8" s="1"/>
  <c r="G18" i="8" s="1"/>
  <c r="D26" i="7"/>
  <c r="D28" i="7" s="1"/>
  <c r="D23" i="7"/>
  <c r="G23" i="8" l="1"/>
  <c r="G24" i="8" s="1"/>
  <c r="G26" i="8" s="1"/>
  <c r="H7" i="8" s="1"/>
  <c r="H9" i="8" s="1"/>
  <c r="H20" i="8" s="1"/>
  <c r="G22" i="8"/>
  <c r="G25" i="8" s="1"/>
  <c r="H17" i="8" s="1"/>
  <c r="H18" i="8" s="1"/>
  <c r="R13" i="8"/>
  <c r="E9" i="7"/>
  <c r="E10" i="7" s="1"/>
  <c r="H23" i="8" l="1"/>
  <c r="H24" i="8" s="1"/>
  <c r="H26" i="8" s="1"/>
  <c r="I7" i="8" s="1"/>
  <c r="I9" i="8" s="1"/>
  <c r="I20" i="8" s="1"/>
  <c r="H22" i="8"/>
  <c r="H25" i="8" s="1"/>
  <c r="I17" i="8" s="1"/>
  <c r="I18" i="8" s="1"/>
  <c r="S13" i="8"/>
  <c r="E11" i="7"/>
  <c r="E22" i="7" s="1"/>
  <c r="I23" i="8" l="1"/>
  <c r="I24" i="8" s="1"/>
  <c r="I26" i="8" s="1"/>
  <c r="J7" i="8" s="1"/>
  <c r="J9" i="8" s="1"/>
  <c r="J20" i="8" s="1"/>
  <c r="I22" i="8"/>
  <c r="I25" i="8" s="1"/>
  <c r="J17" i="8" s="1"/>
  <c r="J18" i="8" s="1"/>
  <c r="T13" i="8"/>
  <c r="F18" i="7"/>
  <c r="E27" i="7"/>
  <c r="E12" i="7"/>
  <c r="D9" i="2"/>
  <c r="J23" i="8" l="1"/>
  <c r="J24" i="8" s="1"/>
  <c r="J26" i="8" s="1"/>
  <c r="K7" i="8" s="1"/>
  <c r="K9" i="8" s="1"/>
  <c r="J22" i="8"/>
  <c r="U13" i="8"/>
  <c r="F17" i="7"/>
  <c r="E16" i="7"/>
  <c r="E15" i="7"/>
  <c r="E19" i="7" s="1"/>
  <c r="E21" i="7"/>
  <c r="V13" i="8" l="1"/>
  <c r="J25" i="8"/>
  <c r="K17" i="8" s="1"/>
  <c r="K18" i="8" s="1"/>
  <c r="K20" i="8" s="1"/>
  <c r="E26" i="7"/>
  <c r="E28" i="7" s="1"/>
  <c r="E23" i="7"/>
  <c r="K23" i="8" l="1"/>
  <c r="K24" i="8" s="1"/>
  <c r="K26" i="8" s="1"/>
  <c r="L7" i="8" s="1"/>
  <c r="L9" i="8" s="1"/>
  <c r="L20" i="8" s="1"/>
  <c r="K22" i="8"/>
  <c r="K25" i="8" s="1"/>
  <c r="L17" i="8" s="1"/>
  <c r="L18" i="8" s="1"/>
  <c r="W13" i="8"/>
  <c r="F9" i="7"/>
  <c r="F10" i="7" s="1"/>
  <c r="L22" i="8" l="1"/>
  <c r="L25" i="8" s="1"/>
  <c r="M17" i="8" s="1"/>
  <c r="M18" i="8" s="1"/>
  <c r="L23" i="8"/>
  <c r="L24" i="8" s="1"/>
  <c r="L26" i="8"/>
  <c r="M7" i="8" s="1"/>
  <c r="M9" i="8" s="1"/>
  <c r="X13" i="8"/>
  <c r="F11" i="7"/>
  <c r="F22" i="7" s="1"/>
  <c r="E9" i="2"/>
  <c r="M20" i="8" l="1"/>
  <c r="Y13" i="8"/>
  <c r="G18" i="7"/>
  <c r="F27" i="7"/>
  <c r="F12" i="7"/>
  <c r="Z13" i="8" l="1"/>
  <c r="M22" i="8"/>
  <c r="M23" i="8"/>
  <c r="M24" i="8" s="1"/>
  <c r="M26" i="8"/>
  <c r="N7" i="8" s="1"/>
  <c r="N9" i="8" s="1"/>
  <c r="G17" i="7"/>
  <c r="F16" i="7"/>
  <c r="F15" i="7"/>
  <c r="F19" i="7" s="1"/>
  <c r="F21" i="7"/>
  <c r="M25" i="8" l="1"/>
  <c r="N17" i="8" s="1"/>
  <c r="N18" i="8" s="1"/>
  <c r="N20" i="8"/>
  <c r="AA13" i="8"/>
  <c r="F23" i="7"/>
  <c r="F26" i="7"/>
  <c r="F28" i="7" s="1"/>
  <c r="N23" i="8" l="1"/>
  <c r="N24" i="8" s="1"/>
  <c r="N26" i="8" s="1"/>
  <c r="O7" i="8" s="1"/>
  <c r="O9" i="8" s="1"/>
  <c r="O20" i="8" s="1"/>
  <c r="N22" i="8"/>
  <c r="N25" i="8" s="1"/>
  <c r="O17" i="8" s="1"/>
  <c r="O18" i="8" s="1"/>
  <c r="G9" i="7"/>
  <c r="G10" i="7" s="1"/>
  <c r="O23" i="8" l="1"/>
  <c r="O24" i="8" s="1"/>
  <c r="O26" i="8" s="1"/>
  <c r="P7" i="8" s="1"/>
  <c r="P9" i="8" s="1"/>
  <c r="P20" i="8" s="1"/>
  <c r="O22" i="8"/>
  <c r="O25" i="8" s="1"/>
  <c r="P17" i="8" s="1"/>
  <c r="P18" i="8" s="1"/>
  <c r="G11" i="7"/>
  <c r="G22" i="7" s="1"/>
  <c r="F9" i="2"/>
  <c r="P23" i="8" l="1"/>
  <c r="P24" i="8" s="1"/>
  <c r="P26" i="8" s="1"/>
  <c r="Q7" i="8" s="1"/>
  <c r="Q9" i="8" s="1"/>
  <c r="Q20" i="8" s="1"/>
  <c r="P22" i="8"/>
  <c r="P25" i="8" s="1"/>
  <c r="Q17" i="8" s="1"/>
  <c r="Q18" i="8" s="1"/>
  <c r="G27" i="7"/>
  <c r="H18" i="7"/>
  <c r="G12" i="7"/>
  <c r="Q23" i="8" l="1"/>
  <c r="Q24" i="8" s="1"/>
  <c r="Q26" i="8" s="1"/>
  <c r="R7" i="8" s="1"/>
  <c r="R9" i="8" s="1"/>
  <c r="R20" i="8" s="1"/>
  <c r="Q22" i="8"/>
  <c r="Q25" i="8" s="1"/>
  <c r="R17" i="8" s="1"/>
  <c r="R18" i="8" s="1"/>
  <c r="G16" i="7"/>
  <c r="G15" i="7"/>
  <c r="G19" i="7" s="1"/>
  <c r="H17" i="7"/>
  <c r="G21" i="7"/>
  <c r="R23" i="8" l="1"/>
  <c r="R24" i="8" s="1"/>
  <c r="R26" i="8" s="1"/>
  <c r="S7" i="8" s="1"/>
  <c r="S9" i="8" s="1"/>
  <c r="S20" i="8" s="1"/>
  <c r="R22" i="8"/>
  <c r="R25" i="8" s="1"/>
  <c r="S17" i="8" s="1"/>
  <c r="S18" i="8" s="1"/>
  <c r="G26" i="7"/>
  <c r="G28" i="7" s="1"/>
  <c r="G23" i="7"/>
  <c r="G9" i="2"/>
  <c r="S23" i="8" l="1"/>
  <c r="S24" i="8" s="1"/>
  <c r="S26" i="8" s="1"/>
  <c r="T7" i="8" s="1"/>
  <c r="T9" i="8" s="1"/>
  <c r="T20" i="8" s="1"/>
  <c r="S22" i="8"/>
  <c r="S25" i="8" s="1"/>
  <c r="T17" i="8" s="1"/>
  <c r="T18" i="8" s="1"/>
  <c r="H9" i="7"/>
  <c r="H10" i="7" s="1"/>
  <c r="T26" i="8" l="1"/>
  <c r="U7" i="8" s="1"/>
  <c r="U9" i="8" s="1"/>
  <c r="T22" i="8"/>
  <c r="T23" i="8"/>
  <c r="T24" i="8" s="1"/>
  <c r="H11" i="7"/>
  <c r="H22" i="7" s="1"/>
  <c r="H12" i="7"/>
  <c r="T25" i="8" l="1"/>
  <c r="U17" i="8" s="1"/>
  <c r="U18" i="8" s="1"/>
  <c r="U20" i="8" s="1"/>
  <c r="I17" i="7"/>
  <c r="H16" i="7"/>
  <c r="H15" i="7"/>
  <c r="H19" i="7" s="1"/>
  <c r="H21" i="7"/>
  <c r="H27" i="7"/>
  <c r="I18" i="7"/>
  <c r="U22" i="8" l="1"/>
  <c r="U23" i="8"/>
  <c r="U24" i="8" s="1"/>
  <c r="U26" i="8" s="1"/>
  <c r="V7" i="8" s="1"/>
  <c r="V9" i="8" s="1"/>
  <c r="H26" i="7"/>
  <c r="H28" i="7" s="1"/>
  <c r="H23" i="7"/>
  <c r="U25" i="8" l="1"/>
  <c r="V17" i="8" s="1"/>
  <c r="V18" i="8" s="1"/>
  <c r="V20" i="8" s="1"/>
  <c r="I9" i="7"/>
  <c r="I10" i="7" s="1"/>
  <c r="V23" i="8" l="1"/>
  <c r="V24" i="8" s="1"/>
  <c r="V26" i="8" s="1"/>
  <c r="W7" i="8" s="1"/>
  <c r="W9" i="8" s="1"/>
  <c r="W20" i="8" s="1"/>
  <c r="V22" i="8"/>
  <c r="V25" i="8" s="1"/>
  <c r="W17" i="8" s="1"/>
  <c r="W18" i="8" s="1"/>
  <c r="I11" i="7"/>
  <c r="I22" i="7" s="1"/>
  <c r="I12" i="7"/>
  <c r="H9" i="2"/>
  <c r="W23" i="8" l="1"/>
  <c r="W24" i="8" s="1"/>
  <c r="W26" i="8" s="1"/>
  <c r="X7" i="8" s="1"/>
  <c r="X9" i="8" s="1"/>
  <c r="X20" i="8" s="1"/>
  <c r="W22" i="8"/>
  <c r="W25" i="8" s="1"/>
  <c r="X17" i="8" s="1"/>
  <c r="X18" i="8" s="1"/>
  <c r="I15" i="7"/>
  <c r="J17" i="7"/>
  <c r="I16" i="7"/>
  <c r="I21" i="7"/>
  <c r="J18" i="7"/>
  <c r="I27" i="7"/>
  <c r="X23" i="8" l="1"/>
  <c r="X24" i="8" s="1"/>
  <c r="X26" i="8" s="1"/>
  <c r="Y7" i="8" s="1"/>
  <c r="Y9" i="8" s="1"/>
  <c r="Y20" i="8" s="1"/>
  <c r="X22" i="8"/>
  <c r="X25" i="8" s="1"/>
  <c r="Y17" i="8" s="1"/>
  <c r="Y18" i="8" s="1"/>
  <c r="I26" i="7"/>
  <c r="I28" i="7" s="1"/>
  <c r="I23" i="7"/>
  <c r="I19" i="7"/>
  <c r="Y23" i="8" l="1"/>
  <c r="Y24" i="8" s="1"/>
  <c r="Y26" i="8" s="1"/>
  <c r="Z7" i="8" s="1"/>
  <c r="Z9" i="8" s="1"/>
  <c r="Z20" i="8" s="1"/>
  <c r="Y22" i="8"/>
  <c r="Y25" i="8" s="1"/>
  <c r="Z17" i="8" s="1"/>
  <c r="Z18" i="8" s="1"/>
  <c r="J9" i="7"/>
  <c r="J10" i="7" s="1"/>
  <c r="Z26" i="8" l="1"/>
  <c r="AA7" i="8" s="1"/>
  <c r="AA9" i="8" s="1"/>
  <c r="Z23" i="8"/>
  <c r="Z24" i="8" s="1"/>
  <c r="Z22" i="8"/>
  <c r="Z25" i="8" s="1"/>
  <c r="AA17" i="8" s="1"/>
  <c r="AA18" i="8" s="1"/>
  <c r="J11" i="7"/>
  <c r="J22" i="7" s="1"/>
  <c r="J12" i="7"/>
  <c r="I9" i="2"/>
  <c r="AA20" i="8" l="1"/>
  <c r="K17" i="7"/>
  <c r="J16" i="7"/>
  <c r="J15" i="7"/>
  <c r="J19" i="7" s="1"/>
  <c r="J21" i="7"/>
  <c r="K18" i="7"/>
  <c r="J27" i="7"/>
  <c r="AA23" i="8" l="1"/>
  <c r="AA24" i="8" s="1"/>
  <c r="AA26" i="8" s="1"/>
  <c r="AA22" i="8"/>
  <c r="J26" i="7"/>
  <c r="J28" i="7" s="1"/>
  <c r="J23" i="7"/>
  <c r="AA25" i="8" l="1"/>
  <c r="K9" i="7"/>
  <c r="K10" i="7" s="1"/>
  <c r="K11" i="7" l="1"/>
  <c r="K22" i="7" s="1"/>
  <c r="L18" i="7" l="1"/>
  <c r="K27" i="7"/>
  <c r="K12" i="7"/>
  <c r="J9" i="2"/>
  <c r="L17" i="7" l="1"/>
  <c r="K16" i="7"/>
  <c r="K15" i="7"/>
  <c r="K19" i="7" s="1"/>
  <c r="K21" i="7"/>
  <c r="K26" i="7" l="1"/>
  <c r="K28" i="7" s="1"/>
  <c r="K23" i="7"/>
  <c r="L9" i="7" l="1"/>
  <c r="L10" i="7" s="1"/>
  <c r="L11" i="7" l="1"/>
  <c r="L22" i="7" s="1"/>
  <c r="L12" i="7"/>
  <c r="M17" i="7" l="1"/>
  <c r="L16" i="7"/>
  <c r="L15" i="7"/>
  <c r="L19" i="7" s="1"/>
  <c r="L21" i="7"/>
  <c r="M18" i="7"/>
  <c r="L27" i="7"/>
  <c r="L26" i="7" l="1"/>
  <c r="L28" i="7" s="1"/>
  <c r="L23" i="7"/>
  <c r="K9" i="2"/>
  <c r="M9" i="7" l="1"/>
  <c r="M10" i="7" s="1"/>
  <c r="M11" i="7" l="1"/>
  <c r="M22" i="7" s="1"/>
  <c r="M27" i="7" l="1"/>
  <c r="N18" i="7"/>
  <c r="M12" i="7"/>
  <c r="N17" i="7" l="1"/>
  <c r="M16" i="7"/>
  <c r="M15" i="7"/>
  <c r="M19" i="7" s="1"/>
  <c r="M21" i="7"/>
  <c r="M26" i="7" l="1"/>
  <c r="M28" i="7" s="1"/>
  <c r="M23" i="7"/>
  <c r="L9" i="2"/>
  <c r="N9" i="7" l="1"/>
  <c r="N10" i="7" s="1"/>
  <c r="N11" i="7" l="1"/>
  <c r="N22" i="7" s="1"/>
  <c r="O18" i="7" l="1"/>
  <c r="N27" i="7"/>
  <c r="N12" i="7"/>
  <c r="O17" i="7" l="1"/>
  <c r="N16" i="7"/>
  <c r="N15" i="7"/>
  <c r="N19" i="7" s="1"/>
  <c r="N21" i="7"/>
  <c r="M9" i="2"/>
  <c r="N26" i="7" l="1"/>
  <c r="N28" i="7" s="1"/>
  <c r="N23" i="7"/>
  <c r="O9" i="7" l="1"/>
  <c r="O10" i="7" s="1"/>
  <c r="O11" i="7" l="1"/>
  <c r="O22" i="7" s="1"/>
  <c r="O12" i="7"/>
  <c r="O15" i="7" l="1"/>
  <c r="P17" i="7"/>
  <c r="O16" i="7"/>
  <c r="O21" i="7"/>
  <c r="O27" i="7"/>
  <c r="P18" i="7"/>
  <c r="N9" i="2"/>
  <c r="O26" i="7" l="1"/>
  <c r="O28" i="7" s="1"/>
  <c r="O23" i="7"/>
  <c r="O19" i="7"/>
  <c r="P9" i="7" l="1"/>
  <c r="P10" i="7" s="1"/>
  <c r="P11" i="7" l="1"/>
  <c r="P22" i="7" s="1"/>
  <c r="P27" i="7" l="1"/>
  <c r="Q18" i="7"/>
  <c r="P12" i="7"/>
  <c r="Q17" i="7" l="1"/>
  <c r="P16" i="7"/>
  <c r="P15" i="7"/>
  <c r="P19" i="7" s="1"/>
  <c r="P21" i="7"/>
  <c r="P26" i="7" l="1"/>
  <c r="P28" i="7" s="1"/>
  <c r="P23" i="7"/>
  <c r="O9" i="2"/>
  <c r="Q9" i="7" l="1"/>
  <c r="Q10" i="7" s="1"/>
  <c r="Q11" i="7" l="1"/>
  <c r="Q22" i="7" s="1"/>
  <c r="R18" i="7" l="1"/>
  <c r="Q27" i="7"/>
  <c r="Q12" i="7"/>
  <c r="R17" i="7" l="1"/>
  <c r="Q15" i="7"/>
  <c r="Q16" i="7"/>
  <c r="Q21" i="7"/>
  <c r="Q26" i="7" l="1"/>
  <c r="Q28" i="7" s="1"/>
  <c r="Q23" i="7"/>
  <c r="Q19" i="7"/>
  <c r="P9" i="2"/>
  <c r="R9" i="7" l="1"/>
  <c r="R10" i="7" s="1"/>
  <c r="R11" i="7" l="1"/>
  <c r="R22" i="7" s="1"/>
  <c r="R27" i="7" l="1"/>
  <c r="S18" i="7"/>
  <c r="R12" i="7"/>
  <c r="S17" i="7" l="1"/>
  <c r="R15" i="7"/>
  <c r="R16" i="7"/>
  <c r="R21" i="7"/>
  <c r="Q9" i="2"/>
  <c r="R26" i="7" l="1"/>
  <c r="R28" i="7" s="1"/>
  <c r="R23" i="7"/>
  <c r="R19" i="7"/>
  <c r="S9" i="7" l="1"/>
  <c r="S10" i="7" s="1"/>
  <c r="S11" i="7" l="1"/>
  <c r="S22" i="7" s="1"/>
  <c r="T18" i="7" l="1"/>
  <c r="S27" i="7"/>
  <c r="S12" i="7"/>
  <c r="R9" i="2"/>
  <c r="T17" i="7" l="1"/>
  <c r="S16" i="7"/>
  <c r="S15" i="7"/>
  <c r="S19" i="7" s="1"/>
  <c r="S21" i="7"/>
  <c r="S26" i="7" l="1"/>
  <c r="S28" i="7" s="1"/>
  <c r="S23" i="7"/>
  <c r="T9" i="7" l="1"/>
  <c r="T10" i="7" s="1"/>
  <c r="T11" i="7" l="1"/>
  <c r="T22" i="7" s="1"/>
  <c r="S9" i="2"/>
  <c r="U18" i="7" l="1"/>
  <c r="T27" i="7"/>
  <c r="T12" i="7"/>
  <c r="T15" i="7" l="1"/>
  <c r="U17" i="7"/>
  <c r="T16" i="7"/>
  <c r="T21" i="7"/>
  <c r="T26" i="7" l="1"/>
  <c r="T28" i="7" s="1"/>
  <c r="T23" i="7"/>
  <c r="T19" i="7"/>
  <c r="U9" i="7" l="1"/>
  <c r="U10" i="7" s="1"/>
  <c r="T9" i="2"/>
  <c r="U11" i="7" l="1"/>
  <c r="U22" i="7" s="1"/>
  <c r="V18" i="7" l="1"/>
  <c r="U27" i="7"/>
  <c r="U12" i="7"/>
  <c r="V17" i="7" l="1"/>
  <c r="U16" i="7"/>
  <c r="U15" i="7"/>
  <c r="U19" i="7" s="1"/>
  <c r="U21" i="7"/>
  <c r="U26" i="7" l="1"/>
  <c r="U28" i="7" s="1"/>
  <c r="U23" i="7"/>
  <c r="V9" i="7" l="1"/>
  <c r="V10" i="7" s="1"/>
  <c r="U9" i="2"/>
  <c r="V11" i="7" l="1"/>
  <c r="V22" i="7" s="1"/>
  <c r="W18" i="7" l="1"/>
  <c r="V27" i="7"/>
  <c r="V12" i="7"/>
  <c r="W17" i="7" l="1"/>
  <c r="V16" i="7"/>
  <c r="V15" i="7"/>
  <c r="V19" i="7" s="1"/>
  <c r="V21" i="7"/>
  <c r="V26" i="7" l="1"/>
  <c r="V28" i="7" s="1"/>
  <c r="V23" i="7"/>
  <c r="W9" i="7" l="1"/>
  <c r="W10" i="7" s="1"/>
  <c r="V9" i="2"/>
  <c r="W11" i="7" l="1"/>
  <c r="W22" i="7" s="1"/>
  <c r="W27" i="7" l="1"/>
  <c r="X18" i="7"/>
  <c r="W12" i="7"/>
  <c r="W16" i="7" l="1"/>
  <c r="W15" i="7"/>
  <c r="W19" i="7" s="1"/>
  <c r="X17" i="7"/>
  <c r="W21" i="7"/>
  <c r="W26" i="7" l="1"/>
  <c r="W28" i="7" s="1"/>
  <c r="W23" i="7"/>
  <c r="W9" i="2"/>
  <c r="X9" i="7" l="1"/>
  <c r="X10" i="7" s="1"/>
  <c r="X11" i="7" l="1"/>
  <c r="X22" i="7" s="1"/>
  <c r="X27" i="7" l="1"/>
  <c r="Y18" i="7"/>
  <c r="X12" i="7"/>
  <c r="X15" i="7" l="1"/>
  <c r="Y17" i="7"/>
  <c r="X16" i="7"/>
  <c r="X21" i="7"/>
  <c r="X26" i="7" l="1"/>
  <c r="X28" i="7" s="1"/>
  <c r="X23" i="7"/>
  <c r="X19" i="7"/>
  <c r="X9" i="2"/>
  <c r="Y9" i="7" l="1"/>
  <c r="Y10" i="7" s="1"/>
  <c r="Y11" i="7" l="1"/>
  <c r="Y22" i="7" s="1"/>
  <c r="Z18" i="7" l="1"/>
  <c r="Y27" i="7"/>
  <c r="Y12" i="7"/>
  <c r="Y15" i="7" l="1"/>
  <c r="Y16" i="7"/>
  <c r="Z17" i="7"/>
  <c r="Y21" i="7"/>
  <c r="Y9" i="2"/>
  <c r="Y26" i="7" l="1"/>
  <c r="Y28" i="7" s="1"/>
  <c r="Y23" i="7"/>
  <c r="Y19" i="7"/>
  <c r="Z9" i="7" l="1"/>
  <c r="Z10" i="7" s="1"/>
  <c r="Z11" i="7" l="1"/>
  <c r="Z22" i="7" s="1"/>
  <c r="AA18" i="7" l="1"/>
  <c r="Z27" i="7"/>
  <c r="Z12" i="7"/>
  <c r="Z9" i="2"/>
  <c r="AA17" i="7" l="1"/>
  <c r="Z16" i="7"/>
  <c r="Z15" i="7"/>
  <c r="Z19" i="7" s="1"/>
  <c r="Z21" i="7"/>
  <c r="Z26" i="7" l="1"/>
  <c r="Z28" i="7" s="1"/>
  <c r="Z23" i="7"/>
  <c r="AA9" i="7" l="1"/>
  <c r="AA10" i="7" s="1"/>
  <c r="H54" i="4"/>
  <c r="AA11" i="7" l="1"/>
  <c r="AA22" i="7" s="1"/>
  <c r="AA27" i="7" s="1"/>
  <c r="AA12" i="7" l="1"/>
  <c r="AA9" i="2"/>
  <c r="H55" i="4"/>
  <c r="H56" i="4"/>
  <c r="AA16" i="7" l="1"/>
  <c r="AA15" i="7"/>
  <c r="AA19" i="7" s="1"/>
  <c r="AA21" i="7"/>
  <c r="H78" i="4"/>
  <c r="H77" i="4"/>
  <c r="H52" i="4"/>
  <c r="AA26" i="7" l="1"/>
  <c r="AA28" i="7" s="1"/>
  <c r="AA23" i="7"/>
</calcChain>
</file>

<file path=xl/sharedStrings.xml><?xml version="1.0" encoding="utf-8"?>
<sst xmlns="http://schemas.openxmlformats.org/spreadsheetml/2006/main" count="112" uniqueCount="82">
  <si>
    <t>Beginning cash balance</t>
  </si>
  <si>
    <t>Add: Reciepts</t>
  </si>
  <si>
    <t>Total cash available</t>
  </si>
  <si>
    <t>Interest</t>
  </si>
  <si>
    <t>Total disbursements</t>
  </si>
  <si>
    <t>Cash excess / Deficiency</t>
  </si>
  <si>
    <t>Target Cash balance</t>
  </si>
  <si>
    <t>Financing Required</t>
  </si>
  <si>
    <t>Surplus cash</t>
  </si>
  <si>
    <t>Financing repaid</t>
  </si>
  <si>
    <t>Financing Balance</t>
  </si>
  <si>
    <t>Ending Cash balance</t>
  </si>
  <si>
    <t>Revenue</t>
  </si>
  <si>
    <t>Total revenue</t>
  </si>
  <si>
    <t>Less: Churned Customers</t>
  </si>
  <si>
    <t>End-of-month free userbase</t>
  </si>
  <si>
    <t>End-of-month premium userbase</t>
  </si>
  <si>
    <t>Total Userbase</t>
  </si>
  <si>
    <t>Free User Revenue</t>
  </si>
  <si>
    <t>Premium user revenue</t>
  </si>
  <si>
    <t>Total Revenue</t>
  </si>
  <si>
    <t>Premium User Revenue</t>
  </si>
  <si>
    <t>Wages</t>
  </si>
  <si>
    <t>Customer Acquisition</t>
  </si>
  <si>
    <t xml:space="preserve">Advertising </t>
  </si>
  <si>
    <t>Total Purchase Disbursements</t>
  </si>
  <si>
    <t>Website</t>
  </si>
  <si>
    <t>Equipment &amp; Software</t>
  </si>
  <si>
    <t>Total New Downloads</t>
  </si>
  <si>
    <t>New Downloads</t>
  </si>
  <si>
    <t>Armoire</t>
  </si>
  <si>
    <t>Free User Downoad Percentage</t>
  </si>
  <si>
    <t>Free User Consumer lifetime in months</t>
  </si>
  <si>
    <t>Premium User Downoad Percentage</t>
  </si>
  <si>
    <t>Premium User Consumer lifetime in months</t>
  </si>
  <si>
    <t>Weighted Average Revenue per download</t>
  </si>
  <si>
    <t>Monthly Churn Rate</t>
  </si>
  <si>
    <t>Yearly Churn rate</t>
  </si>
  <si>
    <t>Watched ads per month</t>
  </si>
  <si>
    <t>Revenue per completed ad</t>
  </si>
  <si>
    <t>Subscription fee per month</t>
  </si>
  <si>
    <t>Free User Lifetime revenue</t>
  </si>
  <si>
    <t>Premium User Lifetime Revenue</t>
  </si>
  <si>
    <t>Less: Purchase Disbursements</t>
  </si>
  <si>
    <t>Insurance</t>
  </si>
  <si>
    <t>Free Users</t>
  </si>
  <si>
    <t>Premium Users</t>
  </si>
  <si>
    <t>Free users (77.6%)</t>
  </si>
  <si>
    <t>Premium users (22.4%)</t>
  </si>
  <si>
    <t>Acquisition Cost</t>
  </si>
  <si>
    <t>Contribution percentage</t>
  </si>
  <si>
    <t>Breakeven Downloads</t>
  </si>
  <si>
    <t>Patent Creation/Maintenance</t>
  </si>
  <si>
    <t>Breakeven Revenue</t>
  </si>
  <si>
    <t>Customer Acquisition (Marketing)</t>
  </si>
  <si>
    <t>24-Month Sales Forecast</t>
  </si>
  <si>
    <t>Free User Loss: 2 Weeks (94.5%)</t>
  </si>
  <si>
    <t>Free User Loss: 1 Month (96.4%)</t>
  </si>
  <si>
    <t>Premium User Loss: 1 Month (16.8%)</t>
  </si>
  <si>
    <t>Total Month Loss</t>
  </si>
  <si>
    <t>24-Month Reciepts</t>
  </si>
  <si>
    <t>24-Month Disbursements</t>
  </si>
  <si>
    <t>Total Downloads</t>
  </si>
  <si>
    <t>App/Google Play Store Fee</t>
  </si>
  <si>
    <t>Free User Loss: 1 Week (87.87%)</t>
  </si>
  <si>
    <t>Network Effect (15% of userbase)</t>
  </si>
  <si>
    <t>Total Fixed Costs</t>
  </si>
  <si>
    <t>Total Variable Costs</t>
  </si>
  <si>
    <t>Total Costs</t>
  </si>
  <si>
    <t>Breakeven Analysis</t>
  </si>
  <si>
    <t>App store/Google Play store Fees</t>
  </si>
  <si>
    <t>Total Profit per Download</t>
  </si>
  <si>
    <t>Total Premium Downloads</t>
  </si>
  <si>
    <t>Total Free Downloads</t>
  </si>
  <si>
    <t>Ending Free Users</t>
  </si>
  <si>
    <t>Ending Total Users</t>
  </si>
  <si>
    <t>Ending Premium Users</t>
  </si>
  <si>
    <t>Net Loss</t>
  </si>
  <si>
    <t>Second Year Cash Budget</t>
  </si>
  <si>
    <t>Financing Required (Negative)</t>
  </si>
  <si>
    <t>2-Year Financial Overview</t>
  </si>
  <si>
    <t>Company Graphs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</si>
</sst>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_-&quot;$&quot;* #,##0.00_-;_-&quot;$&quot;* \(#,##0.00\)_-;_-&quot;$&quot;* 0.00_-;_-@_-"/>
    <numFmt numFmtId="167" formatCode="#,##0_-;\-#,##0_-"/>
    <numFmt numFmtId="168" formatCode="0.00%_-"/>
    <numFmt numFmtId="169" formatCode="0.00_-"/>
    <numFmt numFmtId="170" formatCode="General_-"/>
    <numFmt numFmtId="171" formatCode="0.0_-"/>
    <numFmt numFmtId="172" formatCode="_-* #,##0_-;\-* #,##0_-;_-* 0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EFEFE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1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76">
    <xf numFmtId="0" fontId="0" fillId="0" borderId="0" xfId="0"/>
    <xf numFmtId="0" fontId="0" fillId="0" borderId="1" xfId="0" applyBorder="1"/>
    <xf numFmtId="44" fontId="0" fillId="0" borderId="0" xfId="0" applyNumberFormat="1"/>
    <xf numFmtId="0" fontId="1" fillId="2" borderId="0" xfId="0" applyFont="1" applyFill="1"/>
    <xf numFmtId="165" fontId="0" fillId="2" borderId="0" xfId="0" applyNumberFormat="1" applyFill="1"/>
    <xf numFmtId="0" fontId="0" fillId="2" borderId="0" xfId="0" applyFill="1"/>
    <xf numFmtId="44" fontId="0" fillId="2" borderId="0" xfId="0" applyNumberFormat="1" applyFill="1"/>
    <xf numFmtId="0" fontId="1" fillId="2" borderId="2" xfId="0" applyFont="1" applyFill="1" applyBorder="1"/>
    <xf numFmtId="0" fontId="0" fillId="2" borderId="2" xfId="0" applyFill="1" applyBorder="1"/>
    <xf numFmtId="44" fontId="0" fillId="2" borderId="2" xfId="0" applyNumberFormat="1" applyFill="1" applyBorder="1"/>
    <xf numFmtId="17" fontId="1" fillId="0" borderId="1" xfId="0" applyNumberFormat="1" applyFont="1" applyBorder="1" applyAlignment="1">
      <alignment horizontal="center"/>
    </xf>
    <xf numFmtId="172" fontId="0" fillId="2" borderId="0" xfId="0" applyNumberFormat="1" applyFill="1"/>
    <xf numFmtId="44" fontId="0" fillId="0" borderId="1" xfId="0" applyNumberFormat="1" applyBorder="1"/>
    <xf numFmtId="0" fontId="0" fillId="2" borderId="1" xfId="0" applyFill="1" applyBorder="1"/>
    <xf numFmtId="44" fontId="0" fillId="2" borderId="1" xfId="0" applyNumberFormat="1" applyFill="1" applyBorder="1"/>
    <xf numFmtId="0" fontId="1" fillId="2" borderId="1" xfId="0" applyFont="1" applyFill="1" applyBorder="1"/>
    <xf numFmtId="165" fontId="0" fillId="2" borderId="1" xfId="0" applyNumberFormat="1" applyFill="1" applyBorder="1"/>
    <xf numFmtId="167" fontId="0" fillId="2" borderId="1" xfId="0" applyNumberFormat="1" applyFill="1" applyBorder="1"/>
    <xf numFmtId="0" fontId="0" fillId="3" borderId="0" xfId="0" applyFill="1"/>
    <xf numFmtId="0" fontId="5" fillId="3" borderId="0" xfId="0" applyFont="1" applyFill="1" applyAlignment="1">
      <alignment horizontal="left"/>
    </xf>
    <xf numFmtId="0" fontId="1" fillId="3" borderId="0" xfId="0" applyFont="1" applyFill="1" applyAlignment="1">
      <alignment horizontal="center"/>
    </xf>
    <xf numFmtId="17" fontId="1" fillId="3" borderId="1" xfId="0" applyNumberFormat="1" applyFont="1" applyFill="1" applyBorder="1" applyAlignment="1">
      <alignment horizontal="center"/>
    </xf>
    <xf numFmtId="0" fontId="1" fillId="3" borderId="0" xfId="0" applyFont="1" applyFill="1"/>
    <xf numFmtId="172" fontId="0" fillId="3" borderId="0" xfId="0" applyNumberFormat="1" applyFill="1"/>
    <xf numFmtId="0" fontId="1" fillId="3" borderId="3" xfId="0" applyFont="1" applyFill="1" applyBorder="1"/>
    <xf numFmtId="0" fontId="0" fillId="3" borderId="3" xfId="0" applyFill="1" applyBorder="1"/>
    <xf numFmtId="172" fontId="0" fillId="3" borderId="3" xfId="0" applyNumberFormat="1" applyFill="1" applyBorder="1"/>
    <xf numFmtId="164" fontId="0" fillId="3" borderId="0" xfId="0" applyNumberFormat="1" applyFill="1"/>
    <xf numFmtId="44" fontId="0" fillId="3" borderId="0" xfId="0" applyNumberFormat="1" applyFill="1"/>
    <xf numFmtId="44" fontId="0" fillId="3" borderId="3" xfId="0" applyNumberFormat="1" applyFill="1" applyBorder="1"/>
    <xf numFmtId="1" fontId="0" fillId="3" borderId="0" xfId="0" applyNumberFormat="1" applyFill="1"/>
    <xf numFmtId="44" fontId="0" fillId="3" borderId="0" xfId="1" applyFont="1" applyFill="1"/>
    <xf numFmtId="0" fontId="1" fillId="3" borderId="1" xfId="0" applyFont="1" applyFill="1" applyBorder="1"/>
    <xf numFmtId="0" fontId="0" fillId="3" borderId="1" xfId="0" applyFill="1" applyBorder="1"/>
    <xf numFmtId="44" fontId="0" fillId="3" borderId="1" xfId="0" applyNumberFormat="1" applyFill="1" applyBorder="1"/>
    <xf numFmtId="0" fontId="4" fillId="3" borderId="0" xfId="0" applyFont="1" applyFill="1" applyAlignment="1">
      <alignment horizontal="left"/>
    </xf>
    <xf numFmtId="165" fontId="6" fillId="3" borderId="0" xfId="0" applyNumberFormat="1" applyFont="1" applyFill="1"/>
    <xf numFmtId="165" fontId="0" fillId="3" borderId="0" xfId="0" applyNumberFormat="1" applyFill="1"/>
    <xf numFmtId="165" fontId="0" fillId="3" borderId="3" xfId="0" applyNumberFormat="1" applyFill="1" applyBorder="1"/>
    <xf numFmtId="165" fontId="0" fillId="3" borderId="1" xfId="0" applyNumberFormat="1" applyFill="1" applyBorder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0" fillId="3" borderId="2" xfId="0" applyFill="1" applyBorder="1"/>
    <xf numFmtId="43" fontId="0" fillId="3" borderId="0" xfId="0" applyNumberFormat="1" applyFill="1"/>
    <xf numFmtId="168" fontId="2" fillId="3" borderId="0" xfId="0" applyNumberFormat="1" applyFont="1" applyFill="1"/>
    <xf numFmtId="169" fontId="0" fillId="3" borderId="0" xfId="0" applyNumberFormat="1" applyFill="1"/>
    <xf numFmtId="170" fontId="2" fillId="3" borderId="0" xfId="0" applyNumberFormat="1" applyFont="1" applyFill="1"/>
    <xf numFmtId="44" fontId="2" fillId="3" borderId="0" xfId="0" applyNumberFormat="1" applyFont="1" applyFill="1"/>
    <xf numFmtId="171" fontId="0" fillId="3" borderId="0" xfId="0" applyNumberFormat="1" applyFill="1"/>
    <xf numFmtId="9" fontId="0" fillId="3" borderId="0" xfId="2" applyFont="1" applyFill="1"/>
    <xf numFmtId="167" fontId="0" fillId="3" borderId="0" xfId="0" applyNumberFormat="1" applyFill="1"/>
    <xf numFmtId="167" fontId="0" fillId="3" borderId="1" xfId="0" applyNumberFormat="1" applyFill="1" applyBorder="1"/>
    <xf numFmtId="0" fontId="7" fillId="3" borderId="1" xfId="0" applyFont="1" applyFill="1" applyBorder="1"/>
    <xf numFmtId="0" fontId="7" fillId="3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7" fillId="0" borderId="1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3" borderId="0" xfId="0" applyFill="1"/>
    <xf numFmtId="0" fontId="0" fillId="3" borderId="3" xfId="0" applyFill="1" applyBorder="1"/>
    <xf numFmtId="0" fontId="1" fillId="2" borderId="0" xfId="0" applyFont="1" applyFill="1"/>
    <xf numFmtId="0" fontId="0" fillId="0" borderId="0" xfId="0"/>
    <xf numFmtId="0" fontId="0" fillId="0" borderId="0" xfId="0" applyAlignment="1">
      <alignment horizontal="left"/>
    </xf>
    <xf numFmtId="0" fontId="1" fillId="3" borderId="0" xfId="0" applyFont="1" applyFill="1"/>
    <xf numFmtId="0" fontId="7" fillId="3" borderId="3" xfId="0" applyFont="1" applyFill="1" applyBorder="1" applyAlignment="1">
      <alignment horizontal="left"/>
    </xf>
    <xf numFmtId="0" fontId="0" fillId="3" borderId="0" xfId="0" applyFill="1" applyBorder="1"/>
    <xf numFmtId="44" fontId="0" fillId="3" borderId="0" xfId="0" applyNumberFormat="1" applyFill="1" applyBorder="1"/>
    <xf numFmtId="0" fontId="5" fillId="3" borderId="0" xfId="0" applyFont="1" applyFill="1" applyBorder="1" applyAlignment="1">
      <alignment horizontal="left"/>
    </xf>
    <xf numFmtId="172" fontId="0" fillId="3" borderId="0" xfId="0" applyNumberFormat="1" applyFill="1" applyBorder="1"/>
    <xf numFmtId="0" fontId="1" fillId="3" borderId="0" xfId="0" applyFont="1" applyFill="1" applyBorder="1"/>
    <xf numFmtId="0" fontId="7" fillId="3" borderId="0" xfId="0" applyFont="1" applyFill="1" applyBorder="1" applyAlignment="1">
      <alignment horizontal="left"/>
    </xf>
    <xf numFmtId="17" fontId="1" fillId="3" borderId="0" xfId="0" applyNumberFormat="1" applyFont="1" applyFill="1" applyBorder="1"/>
    <xf numFmtId="0" fontId="1" fillId="3" borderId="2" xfId="0" applyFont="1" applyFill="1" applyBorder="1"/>
    <xf numFmtId="44" fontId="0" fillId="3" borderId="2" xfId="0" applyNumberFormat="1" applyFill="1" applyBorder="1"/>
    <xf numFmtId="41" fontId="0" fillId="3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FEFEF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'Cash Budget'!$D$6:$AA$6</c:f>
              <c:numCache>
                <c:formatCode>mmm\-yy</c:formatCode>
                <c:ptCount val="24"/>
                <c:pt idx="0">
                  <c:v>45039</c:v>
                </c:pt>
                <c:pt idx="1">
                  <c:v>45069</c:v>
                </c:pt>
                <c:pt idx="2">
                  <c:v>45100</c:v>
                </c:pt>
                <c:pt idx="3">
                  <c:v>45130</c:v>
                </c:pt>
                <c:pt idx="4">
                  <c:v>45161</c:v>
                </c:pt>
                <c:pt idx="5">
                  <c:v>45192</c:v>
                </c:pt>
                <c:pt idx="6">
                  <c:v>45222</c:v>
                </c:pt>
                <c:pt idx="7">
                  <c:v>45253</c:v>
                </c:pt>
                <c:pt idx="8">
                  <c:v>45283</c:v>
                </c:pt>
                <c:pt idx="9">
                  <c:v>45314</c:v>
                </c:pt>
                <c:pt idx="10">
                  <c:v>45345</c:v>
                </c:pt>
                <c:pt idx="11">
                  <c:v>45374</c:v>
                </c:pt>
                <c:pt idx="12">
                  <c:v>45405</c:v>
                </c:pt>
                <c:pt idx="13">
                  <c:v>45435</c:v>
                </c:pt>
                <c:pt idx="14">
                  <c:v>45466</c:v>
                </c:pt>
                <c:pt idx="15">
                  <c:v>45496</c:v>
                </c:pt>
                <c:pt idx="16">
                  <c:v>45527</c:v>
                </c:pt>
                <c:pt idx="17">
                  <c:v>45558</c:v>
                </c:pt>
                <c:pt idx="18">
                  <c:v>45588</c:v>
                </c:pt>
                <c:pt idx="19">
                  <c:v>45619</c:v>
                </c:pt>
                <c:pt idx="20">
                  <c:v>45649</c:v>
                </c:pt>
                <c:pt idx="21">
                  <c:v>45680</c:v>
                </c:pt>
                <c:pt idx="22">
                  <c:v>45711</c:v>
                </c:pt>
                <c:pt idx="23">
                  <c:v>45739</c:v>
                </c:pt>
              </c:numCache>
            </c:numRef>
          </c:cat>
          <c:val>
            <c:numRef>
              <c:f>'Cash Budget'!$D$8:$AA$8</c:f>
              <c:numCache>
                <c:formatCode>_-"$"* #,##0.00_-;_-"$"* \(#,##0.00\)_-;_-"$"* 0.00_-;_-@_-</c:formatCode>
                <c:ptCount val="24"/>
                <c:pt idx="0">
                  <c:v>3573.2797793103455</c:v>
                </c:pt>
                <c:pt idx="1">
                  <c:v>6484.0971791112852</c:v>
                </c:pt>
                <c:pt idx="2">
                  <c:v>9051.4203399015769</c:v>
                </c:pt>
                <c:pt idx="3">
                  <c:v>11322.483980173474</c:v>
                </c:pt>
                <c:pt idx="4">
                  <c:v>13337.648135664433</c:v>
                </c:pt>
                <c:pt idx="5">
                  <c:v>15131.811361046828</c:v>
                </c:pt>
                <c:pt idx="6">
                  <c:v>16735.150851298105</c:v>
                </c:pt>
                <c:pt idx="7">
                  <c:v>18173.761383839606</c:v>
                </c:pt>
                <c:pt idx="8">
                  <c:v>19470.207791721477</c:v>
                </c:pt>
                <c:pt idx="9">
                  <c:v>20644.002671688901</c:v>
                </c:pt>
                <c:pt idx="10">
                  <c:v>21712.019444956681</c:v>
                </c:pt>
                <c:pt idx="11">
                  <c:v>22688.849519288211</c:v>
                </c:pt>
                <c:pt idx="12">
                  <c:v>23587.111117043853</c:v>
                </c:pt>
                <c:pt idx="13">
                  <c:v>24417.716310152082</c:v>
                </c:pt>
                <c:pt idx="14">
                  <c:v>25190.101917781627</c:v>
                </c:pt>
                <c:pt idx="15">
                  <c:v>25912.429157107359</c:v>
                </c:pt>
                <c:pt idx="16">
                  <c:v>26591.756275754786</c:v>
                </c:pt>
                <c:pt idx="17">
                  <c:v>27234.18782226184</c:v>
                </c:pt>
                <c:pt idx="18">
                  <c:v>27845.003716091163</c:v>
                </c:pt>
                <c:pt idx="19">
                  <c:v>28428.770850881596</c:v>
                </c:pt>
                <c:pt idx="20">
                  <c:v>28989.439594683059</c:v>
                </c:pt>
                <c:pt idx="21">
                  <c:v>29530.42723103756</c:v>
                </c:pt>
                <c:pt idx="22">
                  <c:v>30054.690108177223</c:v>
                </c:pt>
                <c:pt idx="23">
                  <c:v>30564.786024448771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0-4CD3-98AA-840399B98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1552408"/>
        <c:axId val="1221557088"/>
      </c:barChart>
      <c:lineChart>
        <c:grouping val="standard"/>
        <c:varyColors val="0"/>
        <c:ser>
          <c:idx val="1"/>
          <c:order val="1"/>
          <c:tx>
            <c:v>Total Disbursements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'Cash Budget'!$D$6:$AA$6</c:f>
              <c:numCache>
                <c:formatCode>mmm\-yy</c:formatCode>
                <c:ptCount val="24"/>
                <c:pt idx="0">
                  <c:v>45039</c:v>
                </c:pt>
                <c:pt idx="1">
                  <c:v>45069</c:v>
                </c:pt>
                <c:pt idx="2">
                  <c:v>45100</c:v>
                </c:pt>
                <c:pt idx="3">
                  <c:v>45130</c:v>
                </c:pt>
                <c:pt idx="4">
                  <c:v>45161</c:v>
                </c:pt>
                <c:pt idx="5">
                  <c:v>45192</c:v>
                </c:pt>
                <c:pt idx="6">
                  <c:v>45222</c:v>
                </c:pt>
                <c:pt idx="7">
                  <c:v>45253</c:v>
                </c:pt>
                <c:pt idx="8">
                  <c:v>45283</c:v>
                </c:pt>
                <c:pt idx="9">
                  <c:v>45314</c:v>
                </c:pt>
                <c:pt idx="10">
                  <c:v>45345</c:v>
                </c:pt>
                <c:pt idx="11">
                  <c:v>45374</c:v>
                </c:pt>
                <c:pt idx="12">
                  <c:v>45405</c:v>
                </c:pt>
                <c:pt idx="13">
                  <c:v>45435</c:v>
                </c:pt>
                <c:pt idx="14">
                  <c:v>45466</c:v>
                </c:pt>
                <c:pt idx="15">
                  <c:v>45496</c:v>
                </c:pt>
                <c:pt idx="16">
                  <c:v>45527</c:v>
                </c:pt>
                <c:pt idx="17">
                  <c:v>45558</c:v>
                </c:pt>
                <c:pt idx="18">
                  <c:v>45588</c:v>
                </c:pt>
                <c:pt idx="19">
                  <c:v>45619</c:v>
                </c:pt>
                <c:pt idx="20">
                  <c:v>45649</c:v>
                </c:pt>
                <c:pt idx="21">
                  <c:v>45680</c:v>
                </c:pt>
                <c:pt idx="22">
                  <c:v>45711</c:v>
                </c:pt>
                <c:pt idx="23">
                  <c:v>45739</c:v>
                </c:pt>
              </c:numCache>
            </c:numRef>
          </c:cat>
          <c:val>
            <c:numRef>
              <c:f>'Cash Budget'!$D$18:$AA$18</c:f>
              <c:numCache>
                <c:formatCode>_-"$"* #,##0.00_-;_-"$"* \(#,##0.00\)_-;_-"$"* 0.00_-;_-@_-</c:formatCode>
                <c:ptCount val="24"/>
                <c:pt idx="0">
                  <c:v>25065.14827586207</c:v>
                </c:pt>
                <c:pt idx="1">
                  <c:v>19871.940386999999</c:v>
                </c:pt>
                <c:pt idx="2">
                  <c:v>20296.331634443206</c:v>
                </c:pt>
                <c:pt idx="3">
                  <c:v>20663.943342637165</c:v>
                </c:pt>
                <c:pt idx="4">
                  <c:v>20982.198484138433</c:v>
                </c:pt>
                <c:pt idx="5">
                  <c:v>21257.512701756674</c:v>
                </c:pt>
                <c:pt idx="6">
                  <c:v>21495.43060747382</c:v>
                </c:pt>
                <c:pt idx="7">
                  <c:v>21700.743634936513</c:v>
                </c:pt>
                <c:pt idx="8">
                  <c:v>21877.591943031533</c:v>
                </c:pt>
                <c:pt idx="9">
                  <c:v>22029.552528882494</c:v>
                </c:pt>
                <c:pt idx="10">
                  <c:v>22159.715416519692</c:v>
                </c:pt>
                <c:pt idx="11">
                  <c:v>22320.749534918647</c:v>
                </c:pt>
                <c:pt idx="12">
                  <c:v>22365.230514057883</c:v>
                </c:pt>
                <c:pt idx="13">
                  <c:v>22444.608072501323</c:v>
                </c:pt>
                <c:pt idx="14">
                  <c:v>22510.869212601505</c:v>
                </c:pt>
                <c:pt idx="15">
                  <c:v>22565.496097095962</c:v>
                </c:pt>
                <c:pt idx="16">
                  <c:v>22609.767264477672</c:v>
                </c:pt>
                <c:pt idx="17">
                  <c:v>22644.78516097106</c:v>
                </c:pt>
                <c:pt idx="18">
                  <c:v>22671.499946487471</c:v>
                </c:pt>
                <c:pt idx="19">
                  <c:v>22690.730078794262</c:v>
                </c:pt>
                <c:pt idx="20">
                  <c:v>22703.180111894693</c:v>
                </c:pt>
                <c:pt idx="21">
                  <c:v>22709.456085612986</c:v>
                </c:pt>
                <c:pt idx="22">
                  <c:v>22710.078832361141</c:v>
                </c:pt>
                <c:pt idx="23">
                  <c:v>22705.495482950158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00-4CD3-98AA-840399B98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552408"/>
        <c:axId val="1221557088"/>
      </c:lineChart>
      <c:dateAx>
        <c:axId val="12215524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557088"/>
        <c:crosses val="autoZero"/>
        <c:auto val="1"/>
        <c:lblOffset val="100"/>
        <c:baseTimeUnit val="months"/>
      </c:dateAx>
      <c:valAx>
        <c:axId val="1221557088"/>
        <c:scaling>
          <c:orientation val="minMax"/>
        </c:scaling>
        <c:delete val="0"/>
        <c:axPos val="l"/>
        <c:numFmt formatCode="_-&quot;$&quot;* #,&quot;K&quot;_-;_-&quot;$&quot;* \(#,&quot;K&quot;\)_-;_-&quot;$&quot;* 0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55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FEFEF"/>
    </a:solidFill>
    <a:ln w="9525" cap="flat" cmpd="sng" algn="ctr">
      <a:solidFill>
        <a:srgbClr val="EFEFE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Free Users</c:v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 '!$D$6:$AA$6</c:f>
              <c:numCache>
                <c:formatCode>mmm\-yy</c:formatCode>
                <c:ptCount val="24"/>
                <c:pt idx="0">
                  <c:v>45039</c:v>
                </c:pt>
                <c:pt idx="1">
                  <c:v>45069</c:v>
                </c:pt>
                <c:pt idx="2">
                  <c:v>45100</c:v>
                </c:pt>
                <c:pt idx="3">
                  <c:v>45130</c:v>
                </c:pt>
                <c:pt idx="4">
                  <c:v>45161</c:v>
                </c:pt>
                <c:pt idx="5">
                  <c:v>45192</c:v>
                </c:pt>
                <c:pt idx="6">
                  <c:v>45222</c:v>
                </c:pt>
                <c:pt idx="7">
                  <c:v>45253</c:v>
                </c:pt>
                <c:pt idx="8">
                  <c:v>45283</c:v>
                </c:pt>
                <c:pt idx="9">
                  <c:v>45314</c:v>
                </c:pt>
                <c:pt idx="10">
                  <c:v>45345</c:v>
                </c:pt>
                <c:pt idx="11">
                  <c:v>45374</c:v>
                </c:pt>
                <c:pt idx="12">
                  <c:v>45405</c:v>
                </c:pt>
                <c:pt idx="13">
                  <c:v>45435</c:v>
                </c:pt>
                <c:pt idx="14">
                  <c:v>45466</c:v>
                </c:pt>
                <c:pt idx="15">
                  <c:v>45496</c:v>
                </c:pt>
                <c:pt idx="16">
                  <c:v>45527</c:v>
                </c:pt>
                <c:pt idx="17">
                  <c:v>45558</c:v>
                </c:pt>
                <c:pt idx="18">
                  <c:v>45588</c:v>
                </c:pt>
                <c:pt idx="19">
                  <c:v>45619</c:v>
                </c:pt>
                <c:pt idx="20">
                  <c:v>45649</c:v>
                </c:pt>
                <c:pt idx="21">
                  <c:v>45680</c:v>
                </c:pt>
                <c:pt idx="22">
                  <c:v>45711</c:v>
                </c:pt>
                <c:pt idx="23">
                  <c:v>45739</c:v>
                </c:pt>
              </c:numCache>
            </c:numRef>
          </c:cat>
          <c:val>
            <c:numRef>
              <c:f>'Sales Forecast '!$D$21:$AA$21</c:f>
              <c:numCache>
                <c:formatCode>_-* #,##0_-;\-* #,##0_-;_-* 0_-;_-@_-</c:formatCode>
                <c:ptCount val="24"/>
                <c:pt idx="0">
                  <c:v>117.73793103448293</c:v>
                </c:pt>
                <c:pt idx="1">
                  <c:v>199.5125113379313</c:v>
                </c:pt>
                <c:pt idx="2">
                  <c:v>283.63324212129874</c:v>
                </c:pt>
                <c:pt idx="3">
                  <c:v>369.92356347994473</c:v>
                </c:pt>
                <c:pt idx="4">
                  <c:v>458.16067504013427</c:v>
                </c:pt>
                <c:pt idx="5">
                  <c:v>548.15214667362943</c:v>
                </c:pt>
                <c:pt idx="6">
                  <c:v>639.73195940322421</c:v>
                </c:pt>
                <c:pt idx="7">
                  <c:v>732.75693347708102</c:v>
                </c:pt>
                <c:pt idx="8">
                  <c:v>827.10363952045691</c:v>
                </c:pt>
                <c:pt idx="9">
                  <c:v>922.66572770488028</c:v>
                </c:pt>
                <c:pt idx="10">
                  <c:v>1019.3516183659813</c:v>
                </c:pt>
                <c:pt idx="11">
                  <c:v>1117.08250515587</c:v>
                </c:pt>
                <c:pt idx="12">
                  <c:v>1215.7906284354044</c:v>
                </c:pt>
                <c:pt idx="13">
                  <c:v>1315.4177823353466</c:v>
                </c:pt>
                <c:pt idx="14">
                  <c:v>1415.9140238644945</c:v>
                </c:pt>
                <c:pt idx="15">
                  <c:v>1517.2365567222073</c:v>
                </c:pt>
                <c:pt idx="16">
                  <c:v>1619.3487661729619</c:v>
                </c:pt>
                <c:pt idx="17">
                  <c:v>1722.2193845400539</c:v>
                </c:pt>
                <c:pt idx="18">
                  <c:v>1825.8217696420647</c:v>
                </c:pt>
                <c:pt idx="19">
                  <c:v>1930.1332808878078</c:v>
                </c:pt>
                <c:pt idx="20">
                  <c:v>2035.134739813881</c:v>
                </c:pt>
                <c:pt idx="21">
                  <c:v>2140.809963637415</c:v>
                </c:pt>
                <c:pt idx="22">
                  <c:v>2247.1453619430727</c:v>
                </c:pt>
                <c:pt idx="23">
                  <c:v>2354.1295879605127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7-4BFC-8474-591D384F7C47}"/>
            </c:ext>
          </c:extLst>
        </c:ser>
        <c:ser>
          <c:idx val="1"/>
          <c:order val="1"/>
          <c:tx>
            <c:v>Premium Users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'Sales Forecast '!$D$6:$AA$6</c:f>
              <c:numCache>
                <c:formatCode>mmm\-yy</c:formatCode>
                <c:ptCount val="24"/>
                <c:pt idx="0">
                  <c:v>45039</c:v>
                </c:pt>
                <c:pt idx="1">
                  <c:v>45069</c:v>
                </c:pt>
                <c:pt idx="2">
                  <c:v>45100</c:v>
                </c:pt>
                <c:pt idx="3">
                  <c:v>45130</c:v>
                </c:pt>
                <c:pt idx="4">
                  <c:v>45161</c:v>
                </c:pt>
                <c:pt idx="5">
                  <c:v>45192</c:v>
                </c:pt>
                <c:pt idx="6">
                  <c:v>45222</c:v>
                </c:pt>
                <c:pt idx="7">
                  <c:v>45253</c:v>
                </c:pt>
                <c:pt idx="8">
                  <c:v>45283</c:v>
                </c:pt>
                <c:pt idx="9">
                  <c:v>45314</c:v>
                </c:pt>
                <c:pt idx="10">
                  <c:v>45345</c:v>
                </c:pt>
                <c:pt idx="11">
                  <c:v>45374</c:v>
                </c:pt>
                <c:pt idx="12">
                  <c:v>45405</c:v>
                </c:pt>
                <c:pt idx="13">
                  <c:v>45435</c:v>
                </c:pt>
                <c:pt idx="14">
                  <c:v>45466</c:v>
                </c:pt>
                <c:pt idx="15">
                  <c:v>45496</c:v>
                </c:pt>
                <c:pt idx="16">
                  <c:v>45527</c:v>
                </c:pt>
                <c:pt idx="17">
                  <c:v>45558</c:v>
                </c:pt>
                <c:pt idx="18">
                  <c:v>45588</c:v>
                </c:pt>
                <c:pt idx="19">
                  <c:v>45619</c:v>
                </c:pt>
                <c:pt idx="20">
                  <c:v>45649</c:v>
                </c:pt>
                <c:pt idx="21">
                  <c:v>45680</c:v>
                </c:pt>
                <c:pt idx="22">
                  <c:v>45711</c:v>
                </c:pt>
                <c:pt idx="23">
                  <c:v>45739</c:v>
                </c:pt>
              </c:numCache>
            </c:numRef>
          </c:cat>
          <c:val>
            <c:numRef>
              <c:f>'Sales Forecast '!$D$22:$AA$22</c:f>
              <c:numCache>
                <c:formatCode>_-* #,##0_-;\-* #,##0_-;_-* 0_-;_-@_-</c:formatCode>
                <c:ptCount val="24"/>
                <c:pt idx="0">
                  <c:v>617.93103448275872</c:v>
                </c:pt>
                <c:pt idx="1">
                  <c:v>1156.7681324137934</c:v>
                </c:pt>
                <c:pt idx="2">
                  <c:v>1625.9331502810928</c:v>
                </c:pt>
                <c:pt idx="3">
                  <c:v>2034.8688463013482</c:v>
                </c:pt>
                <c:pt idx="4">
                  <c:v>2391.7429395741315</c:v>
                </c:pt>
                <c:pt idx="5">
                  <c:v>2703.6179216594755</c:v>
                </c:pt>
                <c:pt idx="6">
                  <c:v>2976.6006195994346</c:v>
                </c:pt>
                <c:pt idx="7">
                  <c:v>3215.9715246439778</c:v>
                </c:pt>
                <c:pt idx="8">
                  <c:v>3426.2966191794158</c:v>
                </c:pt>
                <c:pt idx="9">
                  <c:v>3611.5240703323484</c:v>
                </c:pt>
                <c:pt idx="10">
                  <c:v>3775.0678382133228</c:v>
                </c:pt>
                <c:pt idx="11">
                  <c:v>3919.8799696173082</c:v>
                </c:pt>
                <c:pt idx="12">
                  <c:v>4048.5131083567376</c:v>
                </c:pt>
                <c:pt idx="13">
                  <c:v>4163.1745461917799</c:v>
                </c:pt>
                <c:pt idx="14">
                  <c:v>4265.7729591528305</c:v>
                </c:pt>
                <c:pt idx="15">
                  <c:v>4357.958819127296</c:v>
                </c:pt>
                <c:pt idx="16">
                  <c:v>4441.1593366252118</c:v>
                </c:pt>
                <c:pt idx="17">
                  <c:v>4516.6086748089529</c:v>
                </c:pt>
                <c:pt idx="18">
                  <c:v>4585.3740747179345</c:v>
                </c:pt>
                <c:pt idx="19">
                  <c:v>4648.3784450185758</c:v>
                </c:pt>
                <c:pt idx="20">
                  <c:v>4706.4198947286686</c:v>
                </c:pt>
                <c:pt idx="21">
                  <c:v>4760.1886226176402</c:v>
                </c:pt>
                <c:pt idx="22">
                  <c:v>4810.2815209988048</c:v>
                </c:pt>
                <c:pt idx="23">
                  <c:v>4857.2148032206114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A7-4BFC-8474-591D384F7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4306840"/>
        <c:axId val="1264307560"/>
      </c:barChart>
      <c:dateAx>
        <c:axId val="126430684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307560"/>
        <c:crosses val="autoZero"/>
        <c:auto val="1"/>
        <c:lblOffset val="100"/>
        <c:baseTimeUnit val="months"/>
      </c:dateAx>
      <c:valAx>
        <c:axId val="1264307560"/>
        <c:scaling>
          <c:orientation val="minMax"/>
        </c:scaling>
        <c:delete val="0"/>
        <c:axPos val="l"/>
        <c:numFmt formatCode="_-#,&quot;K&quot;_-;_-\(#,&quot;K&quot;\)_-;_-0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306840"/>
        <c:crosses val="autoZero"/>
        <c:crossBetween val="between"/>
      </c:valAx>
      <c:spPr>
        <a:solidFill>
          <a:srgbClr val="EFEFEF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EFEF"/>
    </a:solidFill>
    <a:ln w="9525" cap="flat" cmpd="sng" algn="ctr">
      <a:solidFill>
        <a:srgbClr val="EFEFE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Free User Revenue</c:v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 '!$D$6:$AA$6</c:f>
              <c:numCache>
                <c:formatCode>mmm\-yy</c:formatCode>
                <c:ptCount val="24"/>
                <c:pt idx="0">
                  <c:v>45039</c:v>
                </c:pt>
                <c:pt idx="1">
                  <c:v>45069</c:v>
                </c:pt>
                <c:pt idx="2">
                  <c:v>45100</c:v>
                </c:pt>
                <c:pt idx="3">
                  <c:v>45130</c:v>
                </c:pt>
                <c:pt idx="4">
                  <c:v>45161</c:v>
                </c:pt>
                <c:pt idx="5">
                  <c:v>45192</c:v>
                </c:pt>
                <c:pt idx="6">
                  <c:v>45222</c:v>
                </c:pt>
                <c:pt idx="7">
                  <c:v>45253</c:v>
                </c:pt>
                <c:pt idx="8">
                  <c:v>45283</c:v>
                </c:pt>
                <c:pt idx="9">
                  <c:v>45314</c:v>
                </c:pt>
                <c:pt idx="10">
                  <c:v>45345</c:v>
                </c:pt>
                <c:pt idx="11">
                  <c:v>45374</c:v>
                </c:pt>
                <c:pt idx="12">
                  <c:v>45405</c:v>
                </c:pt>
                <c:pt idx="13">
                  <c:v>45435</c:v>
                </c:pt>
                <c:pt idx="14">
                  <c:v>45466</c:v>
                </c:pt>
                <c:pt idx="15">
                  <c:v>45496</c:v>
                </c:pt>
                <c:pt idx="16">
                  <c:v>45527</c:v>
                </c:pt>
                <c:pt idx="17">
                  <c:v>45558</c:v>
                </c:pt>
                <c:pt idx="18">
                  <c:v>45588</c:v>
                </c:pt>
                <c:pt idx="19">
                  <c:v>45619</c:v>
                </c:pt>
                <c:pt idx="20">
                  <c:v>45649</c:v>
                </c:pt>
                <c:pt idx="21">
                  <c:v>45680</c:v>
                </c:pt>
                <c:pt idx="22">
                  <c:v>45711</c:v>
                </c:pt>
                <c:pt idx="23">
                  <c:v>45739</c:v>
                </c:pt>
              </c:numCache>
            </c:numRef>
          </c:cat>
          <c:val>
            <c:numRef>
              <c:f>'Sales Forecast '!$D$26:$AA$26</c:f>
              <c:numCache>
                <c:formatCode>_("$"* #,##0.00_);_("$"* \(#,##0.00\);_("$"* "-"??_);_(@_)</c:formatCode>
                <c:ptCount val="24"/>
                <c:pt idx="0">
                  <c:v>483.62460689655222</c:v>
                </c:pt>
                <c:pt idx="1">
                  <c:v>700.25651704231802</c:v>
                </c:pt>
                <c:pt idx="2">
                  <c:v>921.75458849611209</c:v>
                </c:pt>
                <c:pt idx="3">
                  <c:v>1148.1397486667329</c:v>
                </c:pt>
                <c:pt idx="4">
                  <c:v>1378.9334377937755</c:v>
                </c:pt>
                <c:pt idx="5">
                  <c:v>1613.7217527494499</c:v>
                </c:pt>
                <c:pt idx="6">
                  <c:v>1852.1477533009322</c:v>
                </c:pt>
                <c:pt idx="7">
                  <c:v>2093.9037606197194</c:v>
                </c:pt>
                <c:pt idx="8">
                  <c:v>2338.7246958243986</c:v>
                </c:pt>
                <c:pt idx="9">
                  <c:v>2586.3823200271595</c:v>
                </c:pt>
                <c:pt idx="10">
                  <c:v>2836.6802538900674</c:v>
                </c:pt>
                <c:pt idx="11">
                  <c:v>3089.449671201668</c:v>
                </c:pt>
                <c:pt idx="12">
                  <c:v>3344.5455752601647</c:v>
                </c:pt>
                <c:pt idx="13">
                  <c:v>3601.8435791931802</c:v>
                </c:pt>
                <c:pt idx="14">
                  <c:v>3861.2371220174746</c:v>
                </c:pt>
                <c:pt idx="15">
                  <c:v>4122.635061470879</c:v>
                </c:pt>
                <c:pt idx="16">
                  <c:v>4385.9595926287238</c:v>
                </c:pt>
                <c:pt idx="17">
                  <c:v>4651.1444482170791</c:v>
                </c:pt>
                <c:pt idx="18">
                  <c:v>4918.1333425014936</c:v>
                </c:pt>
                <c:pt idx="19">
                  <c:v>5186.8786257887159</c:v>
                </c:pt>
                <c:pt idx="20">
                  <c:v>5457.340121039716</c:v>
                </c:pt>
                <c:pt idx="21">
                  <c:v>5729.4841179493578</c:v>
                </c:pt>
                <c:pt idx="22">
                  <c:v>6003.2825031832017</c:v>
                </c:pt>
                <c:pt idx="23">
                  <c:v>6278.7120083457157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A-4E06-886E-DE0528A03CDB}"/>
            </c:ext>
          </c:extLst>
        </c:ser>
        <c:ser>
          <c:idx val="1"/>
          <c:order val="1"/>
          <c:tx>
            <c:v>Premium User Revenue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'Sales Forecast '!$D$6:$AA$6</c:f>
              <c:numCache>
                <c:formatCode>mmm\-yy</c:formatCode>
                <c:ptCount val="24"/>
                <c:pt idx="0">
                  <c:v>45039</c:v>
                </c:pt>
                <c:pt idx="1">
                  <c:v>45069</c:v>
                </c:pt>
                <c:pt idx="2">
                  <c:v>45100</c:v>
                </c:pt>
                <c:pt idx="3">
                  <c:v>45130</c:v>
                </c:pt>
                <c:pt idx="4">
                  <c:v>45161</c:v>
                </c:pt>
                <c:pt idx="5">
                  <c:v>45192</c:v>
                </c:pt>
                <c:pt idx="6">
                  <c:v>45222</c:v>
                </c:pt>
                <c:pt idx="7">
                  <c:v>45253</c:v>
                </c:pt>
                <c:pt idx="8">
                  <c:v>45283</c:v>
                </c:pt>
                <c:pt idx="9">
                  <c:v>45314</c:v>
                </c:pt>
                <c:pt idx="10">
                  <c:v>45345</c:v>
                </c:pt>
                <c:pt idx="11">
                  <c:v>45374</c:v>
                </c:pt>
                <c:pt idx="12">
                  <c:v>45405</c:v>
                </c:pt>
                <c:pt idx="13">
                  <c:v>45435</c:v>
                </c:pt>
                <c:pt idx="14">
                  <c:v>45466</c:v>
                </c:pt>
                <c:pt idx="15">
                  <c:v>45496</c:v>
                </c:pt>
                <c:pt idx="16">
                  <c:v>45527</c:v>
                </c:pt>
                <c:pt idx="17">
                  <c:v>45558</c:v>
                </c:pt>
                <c:pt idx="18">
                  <c:v>45588</c:v>
                </c:pt>
                <c:pt idx="19">
                  <c:v>45619</c:v>
                </c:pt>
                <c:pt idx="20">
                  <c:v>45649</c:v>
                </c:pt>
                <c:pt idx="21">
                  <c:v>45680</c:v>
                </c:pt>
                <c:pt idx="22">
                  <c:v>45711</c:v>
                </c:pt>
                <c:pt idx="23">
                  <c:v>45739</c:v>
                </c:pt>
              </c:numCache>
            </c:numRef>
          </c:cat>
          <c:val>
            <c:numRef>
              <c:f>'Sales Forecast '!$D$27:$AA$27</c:f>
              <c:numCache>
                <c:formatCode>_("$"* #,##0.00_);_("$"* \(#,##0.00\);_("$"* "-"??_);_(@_)</c:formatCode>
                <c:ptCount val="24"/>
                <c:pt idx="0">
                  <c:v>3089.6551724137935</c:v>
                </c:pt>
                <c:pt idx="1">
                  <c:v>5783.8406620689675</c:v>
                </c:pt>
                <c:pt idx="2">
                  <c:v>8129.6657514054641</c:v>
                </c:pt>
                <c:pt idx="3">
                  <c:v>10174.34423150674</c:v>
                </c:pt>
                <c:pt idx="4">
                  <c:v>11958.714697870657</c:v>
                </c:pt>
                <c:pt idx="5">
                  <c:v>13518.089608297378</c:v>
                </c:pt>
                <c:pt idx="6">
                  <c:v>14883.003097997173</c:v>
                </c:pt>
                <c:pt idx="7">
                  <c:v>16079.857623219888</c:v>
                </c:pt>
                <c:pt idx="8">
                  <c:v>17131.483095897078</c:v>
                </c:pt>
                <c:pt idx="9">
                  <c:v>18057.620351661742</c:v>
                </c:pt>
                <c:pt idx="10">
                  <c:v>18875.339191066614</c:v>
                </c:pt>
                <c:pt idx="11">
                  <c:v>19599.399848086541</c:v>
                </c:pt>
                <c:pt idx="12">
                  <c:v>20242.56554178369</c:v>
                </c:pt>
                <c:pt idx="13">
                  <c:v>20815.872730958901</c:v>
                </c:pt>
                <c:pt idx="14">
                  <c:v>21328.864795764151</c:v>
                </c:pt>
                <c:pt idx="15">
                  <c:v>21789.79409563648</c:v>
                </c:pt>
                <c:pt idx="16">
                  <c:v>22205.79668312606</c:v>
                </c:pt>
                <c:pt idx="17">
                  <c:v>22583.043374044762</c:v>
                </c:pt>
                <c:pt idx="18">
                  <c:v>22926.870373589671</c:v>
                </c:pt>
                <c:pt idx="19">
                  <c:v>23241.892225092881</c:v>
                </c:pt>
                <c:pt idx="20">
                  <c:v>23532.099473643342</c:v>
                </c:pt>
                <c:pt idx="21">
                  <c:v>23800.9431130882</c:v>
                </c:pt>
                <c:pt idx="22">
                  <c:v>24051.407604994023</c:v>
                </c:pt>
                <c:pt idx="23">
                  <c:v>24286.074016103055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9A-4E06-886E-DE0528A03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7137344"/>
        <c:axId val="1197130504"/>
      </c:barChart>
      <c:dateAx>
        <c:axId val="11971373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7130504"/>
        <c:crosses val="autoZero"/>
        <c:auto val="1"/>
        <c:lblOffset val="100"/>
        <c:baseTimeUnit val="months"/>
      </c:dateAx>
      <c:valAx>
        <c:axId val="1197130504"/>
        <c:scaling>
          <c:orientation val="minMax"/>
        </c:scaling>
        <c:delete val="0"/>
        <c:axPos val="l"/>
        <c:numFmt formatCode="_-#,&quot;K&quot;_-;_-\(#,&quot;K&quot;\)_-;_-0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713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E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'Cash Budget'!$D$6:$AA$6</c:f>
              <c:numCache>
                <c:formatCode>mmm\-yy</c:formatCode>
                <c:ptCount val="24"/>
                <c:pt idx="0">
                  <c:v>45039</c:v>
                </c:pt>
                <c:pt idx="1">
                  <c:v>45069</c:v>
                </c:pt>
                <c:pt idx="2">
                  <c:v>45100</c:v>
                </c:pt>
                <c:pt idx="3">
                  <c:v>45130</c:v>
                </c:pt>
                <c:pt idx="4">
                  <c:v>45161</c:v>
                </c:pt>
                <c:pt idx="5">
                  <c:v>45192</c:v>
                </c:pt>
                <c:pt idx="6">
                  <c:v>45222</c:v>
                </c:pt>
                <c:pt idx="7">
                  <c:v>45253</c:v>
                </c:pt>
                <c:pt idx="8">
                  <c:v>45283</c:v>
                </c:pt>
                <c:pt idx="9">
                  <c:v>45314</c:v>
                </c:pt>
                <c:pt idx="10">
                  <c:v>45345</c:v>
                </c:pt>
                <c:pt idx="11">
                  <c:v>45374</c:v>
                </c:pt>
                <c:pt idx="12">
                  <c:v>45405</c:v>
                </c:pt>
                <c:pt idx="13">
                  <c:v>45435</c:v>
                </c:pt>
                <c:pt idx="14">
                  <c:v>45466</c:v>
                </c:pt>
                <c:pt idx="15">
                  <c:v>45496</c:v>
                </c:pt>
                <c:pt idx="16">
                  <c:v>45527</c:v>
                </c:pt>
                <c:pt idx="17">
                  <c:v>45558</c:v>
                </c:pt>
                <c:pt idx="18">
                  <c:v>45588</c:v>
                </c:pt>
                <c:pt idx="19">
                  <c:v>45619</c:v>
                </c:pt>
                <c:pt idx="20">
                  <c:v>45649</c:v>
                </c:pt>
                <c:pt idx="21">
                  <c:v>45680</c:v>
                </c:pt>
                <c:pt idx="22">
                  <c:v>45711</c:v>
                </c:pt>
                <c:pt idx="23">
                  <c:v>45739</c:v>
                </c:pt>
              </c:numCache>
            </c:numRef>
          </c:cat>
          <c:val>
            <c:numRef>
              <c:f>'Cash Budget'!$D$8:$AA$8</c:f>
              <c:numCache>
                <c:formatCode>_-"$"* #,##0.00_-;_-"$"* \(#,##0.00\)_-;_-"$"* 0.00_-;_-@_-</c:formatCode>
                <c:ptCount val="24"/>
                <c:pt idx="0">
                  <c:v>3573.2797793103455</c:v>
                </c:pt>
                <c:pt idx="1">
                  <c:v>6484.0971791112852</c:v>
                </c:pt>
                <c:pt idx="2">
                  <c:v>9051.4203399015769</c:v>
                </c:pt>
                <c:pt idx="3">
                  <c:v>11322.483980173474</c:v>
                </c:pt>
                <c:pt idx="4">
                  <c:v>13337.648135664433</c:v>
                </c:pt>
                <c:pt idx="5">
                  <c:v>15131.811361046828</c:v>
                </c:pt>
                <c:pt idx="6">
                  <c:v>16735.150851298105</c:v>
                </c:pt>
                <c:pt idx="7">
                  <c:v>18173.761383839606</c:v>
                </c:pt>
                <c:pt idx="8">
                  <c:v>19470.207791721477</c:v>
                </c:pt>
                <c:pt idx="9">
                  <c:v>20644.002671688901</c:v>
                </c:pt>
                <c:pt idx="10">
                  <c:v>21712.019444956681</c:v>
                </c:pt>
                <c:pt idx="11">
                  <c:v>22688.849519288211</c:v>
                </c:pt>
                <c:pt idx="12">
                  <c:v>23587.111117043853</c:v>
                </c:pt>
                <c:pt idx="13">
                  <c:v>24417.716310152082</c:v>
                </c:pt>
                <c:pt idx="14">
                  <c:v>25190.101917781627</c:v>
                </c:pt>
                <c:pt idx="15">
                  <c:v>25912.429157107359</c:v>
                </c:pt>
                <c:pt idx="16">
                  <c:v>26591.756275754786</c:v>
                </c:pt>
                <c:pt idx="17">
                  <c:v>27234.18782226184</c:v>
                </c:pt>
                <c:pt idx="18">
                  <c:v>27845.003716091163</c:v>
                </c:pt>
                <c:pt idx="19">
                  <c:v>28428.770850881596</c:v>
                </c:pt>
                <c:pt idx="20">
                  <c:v>28989.439594683059</c:v>
                </c:pt>
                <c:pt idx="21">
                  <c:v>29530.42723103756</c:v>
                </c:pt>
                <c:pt idx="22">
                  <c:v>30054.690108177223</c:v>
                </c:pt>
                <c:pt idx="23">
                  <c:v>30564.786024448771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9-43D3-831E-75E8C7928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1552408"/>
        <c:axId val="1221557088"/>
      </c:barChart>
      <c:lineChart>
        <c:grouping val="standard"/>
        <c:varyColors val="0"/>
        <c:ser>
          <c:idx val="1"/>
          <c:order val="1"/>
          <c:tx>
            <c:v>Total Disbursements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'Cash Budget'!$D$6:$AA$6</c:f>
              <c:numCache>
                <c:formatCode>mmm\-yy</c:formatCode>
                <c:ptCount val="24"/>
                <c:pt idx="0">
                  <c:v>45039</c:v>
                </c:pt>
                <c:pt idx="1">
                  <c:v>45069</c:v>
                </c:pt>
                <c:pt idx="2">
                  <c:v>45100</c:v>
                </c:pt>
                <c:pt idx="3">
                  <c:v>45130</c:v>
                </c:pt>
                <c:pt idx="4">
                  <c:v>45161</c:v>
                </c:pt>
                <c:pt idx="5">
                  <c:v>45192</c:v>
                </c:pt>
                <c:pt idx="6">
                  <c:v>45222</c:v>
                </c:pt>
                <c:pt idx="7">
                  <c:v>45253</c:v>
                </c:pt>
                <c:pt idx="8">
                  <c:v>45283</c:v>
                </c:pt>
                <c:pt idx="9">
                  <c:v>45314</c:v>
                </c:pt>
                <c:pt idx="10">
                  <c:v>45345</c:v>
                </c:pt>
                <c:pt idx="11">
                  <c:v>45374</c:v>
                </c:pt>
                <c:pt idx="12">
                  <c:v>45405</c:v>
                </c:pt>
                <c:pt idx="13">
                  <c:v>45435</c:v>
                </c:pt>
                <c:pt idx="14">
                  <c:v>45466</c:v>
                </c:pt>
                <c:pt idx="15">
                  <c:v>45496</c:v>
                </c:pt>
                <c:pt idx="16">
                  <c:v>45527</c:v>
                </c:pt>
                <c:pt idx="17">
                  <c:v>45558</c:v>
                </c:pt>
                <c:pt idx="18">
                  <c:v>45588</c:v>
                </c:pt>
                <c:pt idx="19">
                  <c:v>45619</c:v>
                </c:pt>
                <c:pt idx="20">
                  <c:v>45649</c:v>
                </c:pt>
                <c:pt idx="21">
                  <c:v>45680</c:v>
                </c:pt>
                <c:pt idx="22">
                  <c:v>45711</c:v>
                </c:pt>
                <c:pt idx="23">
                  <c:v>45739</c:v>
                </c:pt>
              </c:numCache>
            </c:numRef>
          </c:cat>
          <c:val>
            <c:numRef>
              <c:f>'Cash Budget'!$D$18:$AA$18</c:f>
              <c:numCache>
                <c:formatCode>_-"$"* #,##0.00_-;_-"$"* \(#,##0.00\)_-;_-"$"* 0.00_-;_-@_-</c:formatCode>
                <c:ptCount val="24"/>
                <c:pt idx="0">
                  <c:v>25065.14827586207</c:v>
                </c:pt>
                <c:pt idx="1">
                  <c:v>19871.940386999999</c:v>
                </c:pt>
                <c:pt idx="2">
                  <c:v>20296.331634443206</c:v>
                </c:pt>
                <c:pt idx="3">
                  <c:v>20663.943342637165</c:v>
                </c:pt>
                <c:pt idx="4">
                  <c:v>20982.198484138433</c:v>
                </c:pt>
                <c:pt idx="5">
                  <c:v>21257.512701756674</c:v>
                </c:pt>
                <c:pt idx="6">
                  <c:v>21495.43060747382</c:v>
                </c:pt>
                <c:pt idx="7">
                  <c:v>21700.743634936513</c:v>
                </c:pt>
                <c:pt idx="8">
                  <c:v>21877.591943031533</c:v>
                </c:pt>
                <c:pt idx="9">
                  <c:v>22029.552528882494</c:v>
                </c:pt>
                <c:pt idx="10">
                  <c:v>22159.715416519692</c:v>
                </c:pt>
                <c:pt idx="11">
                  <c:v>22320.749534918647</c:v>
                </c:pt>
                <c:pt idx="12">
                  <c:v>22365.230514057883</c:v>
                </c:pt>
                <c:pt idx="13">
                  <c:v>22444.608072501323</c:v>
                </c:pt>
                <c:pt idx="14">
                  <c:v>22510.869212601505</c:v>
                </c:pt>
                <c:pt idx="15">
                  <c:v>22565.496097095962</c:v>
                </c:pt>
                <c:pt idx="16">
                  <c:v>22609.767264477672</c:v>
                </c:pt>
                <c:pt idx="17">
                  <c:v>22644.78516097106</c:v>
                </c:pt>
                <c:pt idx="18">
                  <c:v>22671.499946487471</c:v>
                </c:pt>
                <c:pt idx="19">
                  <c:v>22690.730078794262</c:v>
                </c:pt>
                <c:pt idx="20">
                  <c:v>22703.180111894693</c:v>
                </c:pt>
                <c:pt idx="21">
                  <c:v>22709.456085612986</c:v>
                </c:pt>
                <c:pt idx="22">
                  <c:v>22710.078832361141</c:v>
                </c:pt>
                <c:pt idx="23">
                  <c:v>22705.495482950158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09-43D3-831E-75E8C7928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552408"/>
        <c:axId val="1221557088"/>
      </c:lineChart>
      <c:dateAx>
        <c:axId val="12215524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557088"/>
        <c:crosses val="autoZero"/>
        <c:auto val="1"/>
        <c:lblOffset val="100"/>
        <c:baseTimeUnit val="months"/>
      </c:dateAx>
      <c:valAx>
        <c:axId val="1221557088"/>
        <c:scaling>
          <c:orientation val="minMax"/>
        </c:scaling>
        <c:delete val="0"/>
        <c:axPos val="l"/>
        <c:numFmt formatCode="_-&quot;$&quot;* #,##0_-;_-&quot;$&quot;* \(#,##0\)_-;_-&quot;$&quot;* 0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55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FEFEF"/>
    </a:solidFill>
    <a:ln w="9525" cap="flat" cmpd="sng" algn="ctr">
      <a:solidFill>
        <a:srgbClr val="EFEFE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_xlchart.v5.3</cx:f>
      </cx:strDim>
      <cx:numDim type="val">
        <cx:f dir="row">_xlchart.v5.2</cx:f>
      </cx:numDim>
    </cx:data>
  </cx:chartData>
  <cx:chart>
    <cx:plotArea>
      <cx:plotAreaRegion>
        <cx:series layoutId="waterfall" uniqueId="{3950B2DB-C7E1-4D26-AB82-FED4B820957E}" formatIdx="0">
          <cx:dataId val="0"/>
          <cx:layoutPr>
            <cx:subtotals/>
          </cx:layoutPr>
        </cx:series>
      </cx:plotAreaRegion>
      <cx:axis id="0">
        <cx:catScaling/>
        <cx:tickLabels/>
      </cx:axis>
      <cx:axis id="1">
        <cx:valScaling/>
        <cx:tickLabels/>
        <cx:numFmt formatCode="_-$* #,&quot;K&quot;_-;_-$* (#,&quot;K&quot;)_-;_-$* 0_-;_-@_-" sourceLinked="0"/>
      </cx:axis>
    </cx:plotArea>
  </cx:chart>
  <cx:spPr>
    <a:solidFill>
      <a:srgbClr val="EFEFEF"/>
    </a:solidFill>
    <a:ln>
      <a:solidFill>
        <a:srgbClr val="EFEFEF"/>
      </a:solidFill>
    </a:ln>
  </cx:spPr>
  <cx:fmtOvrs>
    <cx:fmtOvr idx="0">
      <cx:spPr>
        <a:solidFill>
          <a:schemeClr val="accent6">
            <a:lumMod val="50000"/>
          </a:schemeClr>
        </a:solidFill>
      </cx:spPr>
    </cx:fmtOvr>
    <cx:fmtOvr idx="1">
      <cx:spPr>
        <a:solidFill>
          <a:srgbClr val="C0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466726</xdr:colOff>
      <xdr:row>85</xdr:row>
      <xdr:rowOff>128588</xdr:rowOff>
    </xdr:from>
    <xdr:to>
      <xdr:col>18</xdr:col>
      <xdr:colOff>631032</xdr:colOff>
      <xdr:row>108</xdr:row>
      <xdr:rowOff>80963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F2337C9-155D-42A0-A112-5DC84F0D2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557212</xdr:colOff>
      <xdr:row>6</xdr:row>
      <xdr:rowOff>4762</xdr:rowOff>
    </xdr:from>
    <xdr:to>
      <xdr:col>10</xdr:col>
      <xdr:colOff>111920</xdr:colOff>
      <xdr:row>24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8662A3-721E-4B87-9585-37C96E3C5B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616740</xdr:colOff>
      <xdr:row>25</xdr:row>
      <xdr:rowOff>100009</xdr:rowOff>
    </xdr:from>
    <xdr:to>
      <xdr:col>10</xdr:col>
      <xdr:colOff>285749</xdr:colOff>
      <xdr:row>43</xdr:row>
      <xdr:rowOff>90484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F6EA81-62F4-41D0-86EB-0BF4839C48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573154</xdr:colOff>
      <xdr:row>28</xdr:row>
      <xdr:rowOff>12423</xdr:rowOff>
    </xdr:from>
    <xdr:to>
      <xdr:col>20</xdr:col>
      <xdr:colOff>501614</xdr:colOff>
      <xdr:row>52</xdr:row>
      <xdr:rowOff>34993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DB37C2DB-EE41-4B57-830C-2EDFEE0A53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33589" y="5118652"/>
              <a:ext cx="6388895" cy="4395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509380</xdr:colOff>
      <xdr:row>4</xdr:row>
      <xdr:rowOff>21743</xdr:rowOff>
    </xdr:from>
    <xdr:to>
      <xdr:col>21</xdr:col>
      <xdr:colOff>29921</xdr:colOff>
      <xdr:row>26</xdr:row>
      <xdr:rowOff>123619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DD3AED-1FF6-4763-B444-7EF9D10F2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ADE63-3489-4054-B457-3A07782FEF0A}">
  <dimension ref="A1:AA49"/>
  <sheetViews>
    <sheetView showGridLines="0" topLeftCell="A18" workbookViewId="0">
      <selection activeCell="N33" activeCellId="1" sqref="E53 N33"/>
    </sheetView>
  </sheetViews>
  <sheetFormatPr defaultRowHeight="14.25" x14ac:dyDescent="0.45"/>
  <cols>
    <col min="1" max="1" width="9.06640625" style="66"/>
    <col min="2" max="2" width="4.73046875" style="66" customWidth="1"/>
    <col min="3" max="3" width="32.53125" style="66" customWidth="1"/>
    <col min="4" max="27" width="11.06640625" style="66" customWidth="1"/>
    <col min="28" max="16384" width="9.06640625" style="66"/>
  </cols>
  <sheetData>
    <row r="1" spans="2:27" s="18" customFormat="1" x14ac:dyDescent="0.45"/>
    <row r="2" spans="2:27" s="18" customFormat="1" x14ac:dyDescent="0.45">
      <c r="B2" s="54" t="s">
        <v>55</v>
      </c>
      <c r="C2" s="54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</row>
    <row r="3" spans="2:27" s="18" customFormat="1" x14ac:dyDescent="0.45">
      <c r="B3" s="54"/>
      <c r="C3" s="54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2:27" s="18" customFormat="1" ht="14.65" thickBot="1" x14ac:dyDescent="0.5">
      <c r="B4" s="53" t="s">
        <v>30</v>
      </c>
      <c r="C4" s="53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</row>
    <row r="5" spans="2:27" s="18" customFormat="1" x14ac:dyDescent="0.45"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</row>
    <row r="6" spans="2:27" s="18" customFormat="1" ht="14.65" thickBot="1" x14ac:dyDescent="0.5">
      <c r="D6" s="21">
        <v>45039</v>
      </c>
      <c r="E6" s="21">
        <v>45069</v>
      </c>
      <c r="F6" s="21">
        <v>45100</v>
      </c>
      <c r="G6" s="21">
        <v>45130</v>
      </c>
      <c r="H6" s="21">
        <v>45161</v>
      </c>
      <c r="I6" s="21">
        <v>45192</v>
      </c>
      <c r="J6" s="21">
        <v>45222</v>
      </c>
      <c r="K6" s="21">
        <v>45253</v>
      </c>
      <c r="L6" s="21">
        <v>45283</v>
      </c>
      <c r="M6" s="21">
        <v>45314</v>
      </c>
      <c r="N6" s="21">
        <v>45345</v>
      </c>
      <c r="O6" s="21">
        <v>45374</v>
      </c>
      <c r="P6" s="21">
        <v>45405</v>
      </c>
      <c r="Q6" s="21">
        <v>45435</v>
      </c>
      <c r="R6" s="21">
        <v>45466</v>
      </c>
      <c r="S6" s="21">
        <v>45496</v>
      </c>
      <c r="T6" s="21">
        <v>45527</v>
      </c>
      <c r="U6" s="21">
        <v>45558</v>
      </c>
      <c r="V6" s="21">
        <v>45588</v>
      </c>
      <c r="W6" s="21">
        <v>45619</v>
      </c>
      <c r="X6" s="21">
        <v>45649</v>
      </c>
      <c r="Y6" s="21">
        <v>45680</v>
      </c>
      <c r="Z6" s="21">
        <v>45711</v>
      </c>
      <c r="AA6" s="21">
        <v>45739</v>
      </c>
    </row>
    <row r="7" spans="2:27" s="18" customFormat="1" x14ac:dyDescent="0.45">
      <c r="B7" s="22" t="s">
        <v>29</v>
      </c>
      <c r="C7" s="22"/>
    </row>
    <row r="8" spans="2:27" s="18" customFormat="1" x14ac:dyDescent="0.45">
      <c r="B8" s="22"/>
      <c r="C8" s="18" t="s">
        <v>54</v>
      </c>
      <c r="D8" s="23">
        <f>8000/2.9</f>
        <v>2758.6206896551726</v>
      </c>
      <c r="E8" s="23">
        <f t="shared" ref="E8:AA8" si="0">8000/2.9</f>
        <v>2758.6206896551726</v>
      </c>
      <c r="F8" s="23">
        <f t="shared" si="0"/>
        <v>2758.6206896551726</v>
      </c>
      <c r="G8" s="23">
        <f t="shared" si="0"/>
        <v>2758.6206896551726</v>
      </c>
      <c r="H8" s="23">
        <f t="shared" si="0"/>
        <v>2758.6206896551726</v>
      </c>
      <c r="I8" s="23">
        <f t="shared" si="0"/>
        <v>2758.6206896551726</v>
      </c>
      <c r="J8" s="23">
        <f t="shared" si="0"/>
        <v>2758.6206896551726</v>
      </c>
      <c r="K8" s="23">
        <f t="shared" si="0"/>
        <v>2758.6206896551726</v>
      </c>
      <c r="L8" s="23">
        <f t="shared" si="0"/>
        <v>2758.6206896551726</v>
      </c>
      <c r="M8" s="23">
        <f t="shared" si="0"/>
        <v>2758.6206896551726</v>
      </c>
      <c r="N8" s="23">
        <f t="shared" si="0"/>
        <v>2758.6206896551726</v>
      </c>
      <c r="O8" s="23">
        <f t="shared" si="0"/>
        <v>2758.6206896551726</v>
      </c>
      <c r="P8" s="23">
        <f t="shared" si="0"/>
        <v>2758.6206896551726</v>
      </c>
      <c r="Q8" s="23">
        <f t="shared" si="0"/>
        <v>2758.6206896551726</v>
      </c>
      <c r="R8" s="23">
        <f t="shared" si="0"/>
        <v>2758.6206896551726</v>
      </c>
      <c r="S8" s="23">
        <f t="shared" si="0"/>
        <v>2758.6206896551726</v>
      </c>
      <c r="T8" s="23">
        <f t="shared" si="0"/>
        <v>2758.6206896551726</v>
      </c>
      <c r="U8" s="23">
        <f t="shared" si="0"/>
        <v>2758.6206896551726</v>
      </c>
      <c r="V8" s="23">
        <f t="shared" si="0"/>
        <v>2758.6206896551726</v>
      </c>
      <c r="W8" s="23">
        <f t="shared" si="0"/>
        <v>2758.6206896551726</v>
      </c>
      <c r="X8" s="23">
        <f t="shared" si="0"/>
        <v>2758.6206896551726</v>
      </c>
      <c r="Y8" s="23">
        <f t="shared" si="0"/>
        <v>2758.6206896551726</v>
      </c>
      <c r="Z8" s="23">
        <f t="shared" si="0"/>
        <v>2758.6206896551726</v>
      </c>
      <c r="AA8" s="23">
        <f t="shared" si="0"/>
        <v>2758.6206896551726</v>
      </c>
    </row>
    <row r="9" spans="2:27" s="18" customFormat="1" ht="14.65" thickBot="1" x14ac:dyDescent="0.5">
      <c r="B9" s="24"/>
      <c r="C9" s="25" t="s">
        <v>65</v>
      </c>
      <c r="D9" s="26">
        <v>0</v>
      </c>
      <c r="E9" s="26">
        <f>D23*0.15</f>
        <v>110.35034482758624</v>
      </c>
      <c r="F9" s="26">
        <f t="shared" ref="F9:AA9" si="1">E23*0.15</f>
        <v>203.44209656275871</v>
      </c>
      <c r="G9" s="26">
        <f t="shared" si="1"/>
        <v>286.43495886035873</v>
      </c>
      <c r="H9" s="26">
        <f t="shared" si="1"/>
        <v>360.7188614671939</v>
      </c>
      <c r="I9" s="26">
        <f t="shared" si="1"/>
        <v>427.48554219213986</v>
      </c>
      <c r="J9" s="26">
        <f t="shared" si="1"/>
        <v>487.7655102499657</v>
      </c>
      <c r="K9" s="26">
        <f t="shared" si="1"/>
        <v>542.4498868503988</v>
      </c>
      <c r="L9" s="26">
        <f t="shared" si="1"/>
        <v>592.30926871815882</v>
      </c>
      <c r="M9" s="26">
        <f t="shared" si="1"/>
        <v>638.01003880498081</v>
      </c>
      <c r="N9" s="26">
        <f t="shared" si="1"/>
        <v>680.12846970558428</v>
      </c>
      <c r="O9" s="26">
        <f t="shared" si="1"/>
        <v>719.16291848689559</v>
      </c>
      <c r="P9" s="26">
        <f t="shared" si="1"/>
        <v>755.54437121597664</v>
      </c>
      <c r="Q9" s="26">
        <f t="shared" si="1"/>
        <v>789.6455605188213</v>
      </c>
      <c r="R9" s="26">
        <f t="shared" si="1"/>
        <v>821.78884927906893</v>
      </c>
      <c r="S9" s="26">
        <f t="shared" si="1"/>
        <v>852.25304745259882</v>
      </c>
      <c r="T9" s="26">
        <f t="shared" si="1"/>
        <v>881.27930637742554</v>
      </c>
      <c r="U9" s="26">
        <f t="shared" si="1"/>
        <v>909.07621541972605</v>
      </c>
      <c r="V9" s="26">
        <f t="shared" si="1"/>
        <v>935.82420890235107</v>
      </c>
      <c r="W9" s="26">
        <f t="shared" si="1"/>
        <v>961.67937665399995</v>
      </c>
      <c r="X9" s="26">
        <f t="shared" si="1"/>
        <v>986.77675888595752</v>
      </c>
      <c r="Y9" s="26">
        <f t="shared" si="1"/>
        <v>1011.2331951813825</v>
      </c>
      <c r="Z9" s="26">
        <f t="shared" si="1"/>
        <v>1035.1497879382582</v>
      </c>
      <c r="AA9" s="26">
        <f t="shared" si="1"/>
        <v>1058.6140324412816</v>
      </c>
    </row>
    <row r="10" spans="2:27" s="18" customFormat="1" x14ac:dyDescent="0.45">
      <c r="B10" s="3" t="s">
        <v>28</v>
      </c>
      <c r="C10" s="5"/>
      <c r="D10" s="11">
        <f t="shared" ref="D10:AA10" si="2">SUM(D8:D9)</f>
        <v>2758.6206896551726</v>
      </c>
      <c r="E10" s="11">
        <f>SUM(E8:E9)</f>
        <v>2868.971034482759</v>
      </c>
      <c r="F10" s="11">
        <f t="shared" si="2"/>
        <v>2962.0627862179313</v>
      </c>
      <c r="G10" s="11">
        <f t="shared" si="2"/>
        <v>3045.0556485155312</v>
      </c>
      <c r="H10" s="11">
        <f t="shared" si="2"/>
        <v>3119.3395511223666</v>
      </c>
      <c r="I10" s="11">
        <f t="shared" si="2"/>
        <v>3186.1062318473123</v>
      </c>
      <c r="J10" s="11">
        <f t="shared" si="2"/>
        <v>3246.3861999051383</v>
      </c>
      <c r="K10" s="11">
        <f t="shared" si="2"/>
        <v>3301.0705765055714</v>
      </c>
      <c r="L10" s="11">
        <f t="shared" si="2"/>
        <v>3350.9299583733314</v>
      </c>
      <c r="M10" s="11">
        <f t="shared" si="2"/>
        <v>3396.6307284601535</v>
      </c>
      <c r="N10" s="11">
        <f t="shared" si="2"/>
        <v>3438.7491593607569</v>
      </c>
      <c r="O10" s="11">
        <f t="shared" si="2"/>
        <v>3477.7836081420683</v>
      </c>
      <c r="P10" s="11">
        <f t="shared" si="2"/>
        <v>3514.1650608711493</v>
      </c>
      <c r="Q10" s="11">
        <f t="shared" si="2"/>
        <v>3548.2662501739937</v>
      </c>
      <c r="R10" s="11">
        <f t="shared" si="2"/>
        <v>3580.4095389342415</v>
      </c>
      <c r="S10" s="11">
        <f t="shared" si="2"/>
        <v>3610.8737371077714</v>
      </c>
      <c r="T10" s="11">
        <f t="shared" si="2"/>
        <v>3639.8999960325982</v>
      </c>
      <c r="U10" s="11">
        <f t="shared" si="2"/>
        <v>3667.6969050748985</v>
      </c>
      <c r="V10" s="11">
        <f t="shared" si="2"/>
        <v>3694.4448985575236</v>
      </c>
      <c r="W10" s="11">
        <f t="shared" si="2"/>
        <v>3720.3000663091725</v>
      </c>
      <c r="X10" s="11">
        <f t="shared" si="2"/>
        <v>3745.39744854113</v>
      </c>
      <c r="Y10" s="11">
        <f t="shared" si="2"/>
        <v>3769.8538848365552</v>
      </c>
      <c r="Z10" s="11">
        <f t="shared" si="2"/>
        <v>3793.7704775934308</v>
      </c>
      <c r="AA10" s="11">
        <f t="shared" si="2"/>
        <v>3817.2347220964539</v>
      </c>
    </row>
    <row r="11" spans="2:27" s="18" customFormat="1" x14ac:dyDescent="0.45">
      <c r="B11" s="22"/>
      <c r="C11" s="18" t="s">
        <v>48</v>
      </c>
      <c r="D11" s="23">
        <f>D10*0.224</f>
        <v>617.93103448275872</v>
      </c>
      <c r="E11" s="23">
        <f>E10*0.224</f>
        <v>642.64951172413805</v>
      </c>
      <c r="F11" s="23">
        <f t="shared" ref="F11:AA11" si="3">F10*0.224</f>
        <v>663.50206411281658</v>
      </c>
      <c r="G11" s="23">
        <f>G10*0.224</f>
        <v>682.09246526747904</v>
      </c>
      <c r="H11" s="23">
        <f t="shared" si="3"/>
        <v>698.73205945141012</v>
      </c>
      <c r="I11" s="23">
        <f t="shared" si="3"/>
        <v>713.68779593379793</v>
      </c>
      <c r="J11" s="23">
        <f t="shared" si="3"/>
        <v>727.190508778751</v>
      </c>
      <c r="K11" s="23">
        <f t="shared" si="3"/>
        <v>739.43980913724795</v>
      </c>
      <c r="L11" s="23">
        <f t="shared" si="3"/>
        <v>750.60831067562629</v>
      </c>
      <c r="M11" s="23">
        <f t="shared" si="3"/>
        <v>760.84528317507443</v>
      </c>
      <c r="N11" s="23">
        <f t="shared" si="3"/>
        <v>770.27981169680959</v>
      </c>
      <c r="O11" s="23">
        <f t="shared" si="3"/>
        <v>779.02352822382329</v>
      </c>
      <c r="P11" s="23">
        <f t="shared" si="3"/>
        <v>787.17297363513751</v>
      </c>
      <c r="Q11" s="23">
        <f t="shared" si="3"/>
        <v>794.81164003897459</v>
      </c>
      <c r="R11" s="23">
        <f t="shared" si="3"/>
        <v>802.01173672127015</v>
      </c>
      <c r="S11" s="23">
        <f t="shared" si="3"/>
        <v>808.83571711214086</v>
      </c>
      <c r="T11" s="23">
        <f t="shared" si="3"/>
        <v>815.33759911130198</v>
      </c>
      <c r="U11" s="23">
        <f t="shared" si="3"/>
        <v>821.56410673677726</v>
      </c>
      <c r="V11" s="23">
        <f t="shared" si="3"/>
        <v>827.55565727688531</v>
      </c>
      <c r="W11" s="23">
        <f t="shared" si="3"/>
        <v>833.34721485325463</v>
      </c>
      <c r="X11" s="23">
        <f t="shared" si="3"/>
        <v>838.96902847321314</v>
      </c>
      <c r="Y11" s="23">
        <f t="shared" si="3"/>
        <v>844.44727020338837</v>
      </c>
      <c r="Z11" s="23">
        <f t="shared" si="3"/>
        <v>849.80458698092855</v>
      </c>
      <c r="AA11" s="23">
        <f t="shared" si="3"/>
        <v>855.06057774960573</v>
      </c>
    </row>
    <row r="12" spans="2:27" s="18" customFormat="1" x14ac:dyDescent="0.45">
      <c r="B12" s="22"/>
      <c r="C12" s="18" t="s">
        <v>47</v>
      </c>
      <c r="D12" s="23">
        <f>D10-D11</f>
        <v>2140.6896551724139</v>
      </c>
      <c r="E12" s="23">
        <f>E10-E11</f>
        <v>2226.3215227586211</v>
      </c>
      <c r="F12" s="23">
        <f t="shared" ref="F12:AA12" si="4">F10-F11</f>
        <v>2298.5607221051146</v>
      </c>
      <c r="G12" s="23">
        <f t="shared" si="4"/>
        <v>2362.9631832480522</v>
      </c>
      <c r="H12" s="23">
        <f t="shared" si="4"/>
        <v>2420.6074916709567</v>
      </c>
      <c r="I12" s="23">
        <f t="shared" si="4"/>
        <v>2472.4184359135143</v>
      </c>
      <c r="J12" s="23">
        <f t="shared" si="4"/>
        <v>2519.1956911263874</v>
      </c>
      <c r="K12" s="23">
        <f t="shared" si="4"/>
        <v>2561.6307673683232</v>
      </c>
      <c r="L12" s="23">
        <f t="shared" si="4"/>
        <v>2600.321647697705</v>
      </c>
      <c r="M12" s="23">
        <f t="shared" si="4"/>
        <v>2635.7854452850788</v>
      </c>
      <c r="N12" s="23">
        <f t="shared" si="4"/>
        <v>2668.4693476639472</v>
      </c>
      <c r="O12" s="23">
        <f t="shared" si="4"/>
        <v>2698.7600799182451</v>
      </c>
      <c r="P12" s="23">
        <f t="shared" si="4"/>
        <v>2726.9920872360117</v>
      </c>
      <c r="Q12" s="23">
        <f t="shared" si="4"/>
        <v>2753.4546101350193</v>
      </c>
      <c r="R12" s="23">
        <f t="shared" si="4"/>
        <v>2778.3978022129713</v>
      </c>
      <c r="S12" s="23">
        <f t="shared" si="4"/>
        <v>2802.0380199956307</v>
      </c>
      <c r="T12" s="23">
        <f t="shared" si="4"/>
        <v>2824.5623969212961</v>
      </c>
      <c r="U12" s="23">
        <f t="shared" si="4"/>
        <v>2846.1327983381211</v>
      </c>
      <c r="V12" s="23">
        <f t="shared" si="4"/>
        <v>2866.8892412806381</v>
      </c>
      <c r="W12" s="23">
        <f t="shared" si="4"/>
        <v>2886.9528514559179</v>
      </c>
      <c r="X12" s="23">
        <f t="shared" si="4"/>
        <v>2906.4284200679167</v>
      </c>
      <c r="Y12" s="23">
        <f t="shared" si="4"/>
        <v>2925.406614633167</v>
      </c>
      <c r="Z12" s="23">
        <f t="shared" si="4"/>
        <v>2943.9658906125023</v>
      </c>
      <c r="AA12" s="23">
        <f t="shared" si="4"/>
        <v>2962.1741443468482</v>
      </c>
    </row>
    <row r="13" spans="2:27" s="18" customFormat="1" x14ac:dyDescent="0.45">
      <c r="B13" s="22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2:27" s="18" customFormat="1" x14ac:dyDescent="0.45">
      <c r="B14" s="22" t="s">
        <v>14</v>
      </c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2:27" s="18" customFormat="1" x14ac:dyDescent="0.45">
      <c r="B15" s="22"/>
      <c r="C15" s="18" t="s">
        <v>64</v>
      </c>
      <c r="D15" s="23">
        <f>D12*0.8785</f>
        <v>1880.5958620689655</v>
      </c>
      <c r="E15" s="23">
        <f t="shared" ref="E15:AA15" si="5">E12*0.8785</f>
        <v>1955.8234577434484</v>
      </c>
      <c r="F15" s="23">
        <f t="shared" si="5"/>
        <v>2019.285594369343</v>
      </c>
      <c r="G15" s="23">
        <f t="shared" si="5"/>
        <v>2075.8631564834136</v>
      </c>
      <c r="H15" s="23">
        <f t="shared" si="5"/>
        <v>2126.5036814329355</v>
      </c>
      <c r="I15" s="23">
        <f t="shared" si="5"/>
        <v>2172.019595950022</v>
      </c>
      <c r="J15" s="23">
        <f t="shared" si="5"/>
        <v>2213.113414654531</v>
      </c>
      <c r="K15" s="23">
        <f t="shared" si="5"/>
        <v>2250.3926291330718</v>
      </c>
      <c r="L15" s="23">
        <f t="shared" si="5"/>
        <v>2284.3825675024336</v>
      </c>
      <c r="M15" s="23">
        <f t="shared" si="5"/>
        <v>2315.5375136829416</v>
      </c>
      <c r="N15" s="23">
        <f t="shared" si="5"/>
        <v>2344.2503219227774</v>
      </c>
      <c r="O15" s="23">
        <f t="shared" si="5"/>
        <v>2370.8607302081782</v>
      </c>
      <c r="P15" s="23">
        <f t="shared" si="5"/>
        <v>2395.6625486368362</v>
      </c>
      <c r="Q15" s="23">
        <f>Q12*0.8785</f>
        <v>2418.9098750036142</v>
      </c>
      <c r="R15" s="23">
        <f t="shared" si="5"/>
        <v>2440.8224692440954</v>
      </c>
      <c r="S15" s="23">
        <f t="shared" si="5"/>
        <v>2461.5904005661614</v>
      </c>
      <c r="T15" s="23">
        <f t="shared" si="5"/>
        <v>2481.3780656953586</v>
      </c>
      <c r="U15" s="23">
        <f t="shared" si="5"/>
        <v>2500.3276633400392</v>
      </c>
      <c r="V15" s="23">
        <f t="shared" si="5"/>
        <v>2518.5621984650406</v>
      </c>
      <c r="W15" s="23">
        <f t="shared" si="5"/>
        <v>2536.1880800040235</v>
      </c>
      <c r="X15" s="23">
        <f t="shared" si="5"/>
        <v>2553.2973670296647</v>
      </c>
      <c r="Y15" s="23">
        <f t="shared" si="5"/>
        <v>2569.9697109552371</v>
      </c>
      <c r="Z15" s="23">
        <f t="shared" si="5"/>
        <v>2586.2740349030832</v>
      </c>
      <c r="AA15" s="23">
        <f t="shared" si="5"/>
        <v>2602.2699858087058</v>
      </c>
    </row>
    <row r="16" spans="2:27" s="18" customFormat="1" x14ac:dyDescent="0.45">
      <c r="B16" s="22"/>
      <c r="C16" s="18" t="s">
        <v>56</v>
      </c>
      <c r="D16" s="23">
        <f>D12*(0.0665)</f>
        <v>142.35586206896554</v>
      </c>
      <c r="E16" s="23">
        <f t="shared" ref="E16:AA16" si="6">E12*(0.0665)</f>
        <v>148.05038126344832</v>
      </c>
      <c r="F16" s="23">
        <f t="shared" si="6"/>
        <v>152.85428801999012</v>
      </c>
      <c r="G16" s="23">
        <f t="shared" si="6"/>
        <v>157.13705168599549</v>
      </c>
      <c r="H16" s="23">
        <f t="shared" si="6"/>
        <v>160.97039819611862</v>
      </c>
      <c r="I16" s="23">
        <f t="shared" si="6"/>
        <v>164.41582598824871</v>
      </c>
      <c r="J16" s="23">
        <f t="shared" si="6"/>
        <v>167.52651345990478</v>
      </c>
      <c r="K16" s="23">
        <f t="shared" si="6"/>
        <v>170.34844602999351</v>
      </c>
      <c r="L16" s="23">
        <f t="shared" si="6"/>
        <v>172.92138957189738</v>
      </c>
      <c r="M16" s="23">
        <f t="shared" si="6"/>
        <v>175.27973211145775</v>
      </c>
      <c r="N16" s="23">
        <f t="shared" si="6"/>
        <v>177.45321161965251</v>
      </c>
      <c r="O16" s="23">
        <f t="shared" si="6"/>
        <v>179.4675453145633</v>
      </c>
      <c r="P16" s="23">
        <f t="shared" si="6"/>
        <v>181.34497380119478</v>
      </c>
      <c r="Q16" s="23">
        <f t="shared" si="6"/>
        <v>183.1047315739788</v>
      </c>
      <c r="R16" s="23">
        <f t="shared" si="6"/>
        <v>184.76345384716259</v>
      </c>
      <c r="S16" s="23">
        <f t="shared" si="6"/>
        <v>186.33552832970946</v>
      </c>
      <c r="T16" s="23">
        <f t="shared" si="6"/>
        <v>187.83339939526621</v>
      </c>
      <c r="U16" s="23">
        <f t="shared" si="6"/>
        <v>189.26783108948507</v>
      </c>
      <c r="V16" s="23">
        <f t="shared" si="6"/>
        <v>190.64813454516243</v>
      </c>
      <c r="W16" s="23">
        <f t="shared" si="6"/>
        <v>191.98236462181856</v>
      </c>
      <c r="X16" s="23">
        <f t="shared" si="6"/>
        <v>193.27748993451647</v>
      </c>
      <c r="Y16" s="23">
        <f t="shared" si="6"/>
        <v>194.53953987310561</v>
      </c>
      <c r="Z16" s="23">
        <f t="shared" si="6"/>
        <v>195.77373172573141</v>
      </c>
      <c r="AA16" s="23">
        <f t="shared" si="6"/>
        <v>196.98458059906542</v>
      </c>
    </row>
    <row r="17" spans="1:27" s="18" customFormat="1" x14ac:dyDescent="0.45">
      <c r="B17" s="22"/>
      <c r="C17" s="18" t="s">
        <v>57</v>
      </c>
      <c r="D17" s="23">
        <v>0</v>
      </c>
      <c r="E17" s="23">
        <f>D12*0.019</f>
        <v>40.673103448275867</v>
      </c>
      <c r="F17" s="23">
        <f t="shared" ref="F17:AA17" si="7">E12*0.019</f>
        <v>42.300108932413799</v>
      </c>
      <c r="G17" s="23">
        <f t="shared" si="7"/>
        <v>43.672653719997179</v>
      </c>
      <c r="H17" s="23">
        <f t="shared" si="7"/>
        <v>44.896300481712991</v>
      </c>
      <c r="I17" s="23">
        <f t="shared" si="7"/>
        <v>45.991542341748179</v>
      </c>
      <c r="J17" s="23">
        <f t="shared" si="7"/>
        <v>46.97595028235677</v>
      </c>
      <c r="K17" s="23">
        <f t="shared" si="7"/>
        <v>47.864718131401361</v>
      </c>
      <c r="L17" s="23">
        <f t="shared" si="7"/>
        <v>48.670984579998141</v>
      </c>
      <c r="M17" s="23">
        <f t="shared" si="7"/>
        <v>49.406111306256392</v>
      </c>
      <c r="N17" s="23">
        <f t="shared" si="7"/>
        <v>50.079923460416495</v>
      </c>
      <c r="O17" s="23">
        <f t="shared" si="7"/>
        <v>50.700917605614997</v>
      </c>
      <c r="P17" s="23">
        <f t="shared" si="7"/>
        <v>51.276441518446653</v>
      </c>
      <c r="Q17" s="23">
        <f t="shared" si="7"/>
        <v>51.812849657484222</v>
      </c>
      <c r="R17" s="23">
        <f t="shared" si="7"/>
        <v>52.315637592565366</v>
      </c>
      <c r="S17" s="23">
        <f t="shared" si="7"/>
        <v>52.789558242046454</v>
      </c>
      <c r="T17" s="23">
        <f t="shared" si="7"/>
        <v>53.238722379916986</v>
      </c>
      <c r="U17" s="23">
        <f t="shared" si="7"/>
        <v>53.666685541504627</v>
      </c>
      <c r="V17" s="23">
        <f t="shared" si="7"/>
        <v>54.076523168424302</v>
      </c>
      <c r="W17" s="23">
        <f t="shared" si="7"/>
        <v>54.470895584332119</v>
      </c>
      <c r="X17" s="23">
        <f t="shared" si="7"/>
        <v>54.85210417766244</v>
      </c>
      <c r="Y17" s="23">
        <f t="shared" si="7"/>
        <v>55.222139981290418</v>
      </c>
      <c r="Z17" s="23">
        <f t="shared" si="7"/>
        <v>55.582725678030172</v>
      </c>
      <c r="AA17" s="23">
        <f t="shared" si="7"/>
        <v>55.93535192163754</v>
      </c>
    </row>
    <row r="18" spans="1:27" s="18" customFormat="1" ht="14.65" thickBot="1" x14ac:dyDescent="0.5">
      <c r="B18" s="24"/>
      <c r="C18" s="25" t="s">
        <v>58</v>
      </c>
      <c r="D18" s="26">
        <v>0</v>
      </c>
      <c r="E18" s="26">
        <f>D22*0.168</f>
        <v>103.81241379310347</v>
      </c>
      <c r="F18" s="26">
        <f>E22*0.168</f>
        <v>194.33704624551731</v>
      </c>
      <c r="G18" s="26">
        <f t="shared" ref="G18" si="8">F22*0.168</f>
        <v>273.15676924722362</v>
      </c>
      <c r="H18" s="26">
        <f>G22*0.168</f>
        <v>341.8579661786265</v>
      </c>
      <c r="I18" s="26">
        <f t="shared" ref="I18:AA18" si="9">H22*0.168</f>
        <v>401.81281384845408</v>
      </c>
      <c r="J18" s="26">
        <f t="shared" si="9"/>
        <v>454.20781083879194</v>
      </c>
      <c r="K18" s="26">
        <f t="shared" si="9"/>
        <v>500.06890409270505</v>
      </c>
      <c r="L18" s="26">
        <f t="shared" si="9"/>
        <v>540.2832161401883</v>
      </c>
      <c r="M18" s="26">
        <f t="shared" si="9"/>
        <v>575.6178320221419</v>
      </c>
      <c r="N18" s="26">
        <f t="shared" si="9"/>
        <v>606.73604381583459</v>
      </c>
      <c r="O18" s="26">
        <f t="shared" si="9"/>
        <v>634.21139681983823</v>
      </c>
      <c r="P18" s="26">
        <f t="shared" si="9"/>
        <v>658.53983489570783</v>
      </c>
      <c r="Q18" s="26">
        <f t="shared" si="9"/>
        <v>680.15020220393194</v>
      </c>
      <c r="R18" s="26">
        <f t="shared" si="9"/>
        <v>699.4133237602191</v>
      </c>
      <c r="S18" s="26">
        <f t="shared" si="9"/>
        <v>716.64985713767555</v>
      </c>
      <c r="T18" s="26">
        <f t="shared" si="9"/>
        <v>732.13708161338582</v>
      </c>
      <c r="U18" s="26">
        <f t="shared" si="9"/>
        <v>746.11476855303567</v>
      </c>
      <c r="V18" s="26">
        <f t="shared" si="9"/>
        <v>758.79025736790413</v>
      </c>
      <c r="W18" s="26">
        <f t="shared" si="9"/>
        <v>770.34284455261309</v>
      </c>
      <c r="X18" s="26">
        <f t="shared" si="9"/>
        <v>780.92757876312078</v>
      </c>
      <c r="Y18" s="26">
        <f t="shared" si="9"/>
        <v>790.6785423144164</v>
      </c>
      <c r="Z18" s="26">
        <f t="shared" si="9"/>
        <v>799.71168859976365</v>
      </c>
      <c r="AA18" s="26">
        <f t="shared" si="9"/>
        <v>808.12729552779922</v>
      </c>
    </row>
    <row r="19" spans="1:27" s="18" customFormat="1" x14ac:dyDescent="0.45">
      <c r="B19" s="3" t="s">
        <v>59</v>
      </c>
      <c r="C19" s="5"/>
      <c r="D19" s="11">
        <f>SUM(D15:D18)</f>
        <v>2022.951724137931</v>
      </c>
      <c r="E19" s="11">
        <f t="shared" ref="E19:AA19" si="10">SUM(E15:E18)</f>
        <v>2248.3593562482761</v>
      </c>
      <c r="F19" s="11">
        <f t="shared" si="10"/>
        <v>2408.7770375672644</v>
      </c>
      <c r="G19" s="11">
        <f t="shared" si="10"/>
        <v>2549.8296311366298</v>
      </c>
      <c r="H19" s="11">
        <f t="shared" si="10"/>
        <v>2674.2283462893938</v>
      </c>
      <c r="I19" s="11">
        <f t="shared" si="10"/>
        <v>2784.2397781284731</v>
      </c>
      <c r="J19" s="11">
        <f t="shared" si="10"/>
        <v>2881.8236892355844</v>
      </c>
      <c r="K19" s="11">
        <f t="shared" si="10"/>
        <v>2968.6746973871714</v>
      </c>
      <c r="L19" s="11">
        <f t="shared" si="10"/>
        <v>3046.2581577945175</v>
      </c>
      <c r="M19" s="11">
        <f t="shared" si="10"/>
        <v>3115.8411891227975</v>
      </c>
      <c r="N19" s="11">
        <f t="shared" si="10"/>
        <v>3178.5195008186811</v>
      </c>
      <c r="O19" s="11">
        <f t="shared" si="10"/>
        <v>3235.2405899481946</v>
      </c>
      <c r="P19" s="11">
        <f t="shared" si="10"/>
        <v>3286.8237988521851</v>
      </c>
      <c r="Q19" s="11">
        <f t="shared" si="10"/>
        <v>3333.9776584390092</v>
      </c>
      <c r="R19" s="11">
        <f t="shared" si="10"/>
        <v>3377.3148844440425</v>
      </c>
      <c r="S19" s="11">
        <f t="shared" si="10"/>
        <v>3417.3653442755931</v>
      </c>
      <c r="T19" s="11">
        <f t="shared" si="10"/>
        <v>3454.5872690839274</v>
      </c>
      <c r="U19" s="11">
        <f t="shared" si="10"/>
        <v>3489.3769485240646</v>
      </c>
      <c r="V19" s="11">
        <f t="shared" si="10"/>
        <v>3522.077113546532</v>
      </c>
      <c r="W19" s="11">
        <f t="shared" si="10"/>
        <v>3552.9841847627877</v>
      </c>
      <c r="X19" s="11">
        <f t="shared" si="10"/>
        <v>3582.3545399049644</v>
      </c>
      <c r="Y19" s="11">
        <f t="shared" si="10"/>
        <v>3610.40993312405</v>
      </c>
      <c r="Z19" s="11">
        <f t="shared" si="10"/>
        <v>3637.3421809066085</v>
      </c>
      <c r="AA19" s="11">
        <f t="shared" si="10"/>
        <v>3663.3172138572077</v>
      </c>
    </row>
    <row r="20" spans="1:27" s="18" customFormat="1" x14ac:dyDescent="0.45">
      <c r="B20" s="22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</row>
    <row r="21" spans="1:27" s="18" customFormat="1" x14ac:dyDescent="0.45">
      <c r="B21" s="18" t="s">
        <v>15</v>
      </c>
      <c r="D21" s="23">
        <f>D12-SUM(D15:D17)</f>
        <v>117.73793103448293</v>
      </c>
      <c r="E21" s="23">
        <f>D21+E12-SUM(E15:E17)</f>
        <v>199.5125113379313</v>
      </c>
      <c r="F21" s="23">
        <f t="shared" ref="F21:AA21" si="11">E21+F12-SUM(F15:F17)</f>
        <v>283.63324212129874</v>
      </c>
      <c r="G21" s="23">
        <f t="shared" si="11"/>
        <v>369.92356347994473</v>
      </c>
      <c r="H21" s="23">
        <f t="shared" si="11"/>
        <v>458.16067504013427</v>
      </c>
      <c r="I21" s="23">
        <f t="shared" si="11"/>
        <v>548.15214667362943</v>
      </c>
      <c r="J21" s="23">
        <f t="shared" si="11"/>
        <v>639.73195940322421</v>
      </c>
      <c r="K21" s="23">
        <f t="shared" si="11"/>
        <v>732.75693347708102</v>
      </c>
      <c r="L21" s="23">
        <f t="shared" si="11"/>
        <v>827.10363952045691</v>
      </c>
      <c r="M21" s="23">
        <f t="shared" si="11"/>
        <v>922.66572770488028</v>
      </c>
      <c r="N21" s="23">
        <f t="shared" si="11"/>
        <v>1019.3516183659813</v>
      </c>
      <c r="O21" s="23">
        <f t="shared" si="11"/>
        <v>1117.08250515587</v>
      </c>
      <c r="P21" s="23">
        <f t="shared" si="11"/>
        <v>1215.7906284354044</v>
      </c>
      <c r="Q21" s="23">
        <f t="shared" si="11"/>
        <v>1315.4177823353466</v>
      </c>
      <c r="R21" s="23">
        <f t="shared" si="11"/>
        <v>1415.9140238644945</v>
      </c>
      <c r="S21" s="23">
        <f t="shared" si="11"/>
        <v>1517.2365567222073</v>
      </c>
      <c r="T21" s="23">
        <f t="shared" si="11"/>
        <v>1619.3487661729619</v>
      </c>
      <c r="U21" s="23">
        <f t="shared" si="11"/>
        <v>1722.2193845400539</v>
      </c>
      <c r="V21" s="23">
        <f t="shared" si="11"/>
        <v>1825.8217696420647</v>
      </c>
      <c r="W21" s="23">
        <f t="shared" si="11"/>
        <v>1930.1332808878078</v>
      </c>
      <c r="X21" s="23">
        <f t="shared" si="11"/>
        <v>2035.134739813881</v>
      </c>
      <c r="Y21" s="23">
        <f t="shared" si="11"/>
        <v>2140.809963637415</v>
      </c>
      <c r="Z21" s="23">
        <f t="shared" si="11"/>
        <v>2247.1453619430727</v>
      </c>
      <c r="AA21" s="23">
        <f t="shared" si="11"/>
        <v>2354.1295879605127</v>
      </c>
    </row>
    <row r="22" spans="1:27" s="18" customFormat="1" ht="14.65" thickBot="1" x14ac:dyDescent="0.5">
      <c r="B22" s="25" t="s">
        <v>16</v>
      </c>
      <c r="C22" s="25"/>
      <c r="D22" s="26">
        <f>D11-D18</f>
        <v>617.93103448275872</v>
      </c>
      <c r="E22" s="26">
        <f>D22+E11-E18</f>
        <v>1156.7681324137934</v>
      </c>
      <c r="F22" s="26">
        <f t="shared" ref="F22" si="12">E22+F11-F18</f>
        <v>1625.9331502810928</v>
      </c>
      <c r="G22" s="26">
        <f>F22+G11-G18</f>
        <v>2034.8688463013482</v>
      </c>
      <c r="H22" s="26">
        <f t="shared" ref="H22:AA22" si="13">G22+H11-H18</f>
        <v>2391.7429395741315</v>
      </c>
      <c r="I22" s="26">
        <f t="shared" si="13"/>
        <v>2703.6179216594755</v>
      </c>
      <c r="J22" s="26">
        <f t="shared" si="13"/>
        <v>2976.6006195994346</v>
      </c>
      <c r="K22" s="26">
        <f t="shared" si="13"/>
        <v>3215.9715246439778</v>
      </c>
      <c r="L22" s="26">
        <f t="shared" si="13"/>
        <v>3426.2966191794158</v>
      </c>
      <c r="M22" s="26">
        <f t="shared" si="13"/>
        <v>3611.5240703323484</v>
      </c>
      <c r="N22" s="26">
        <f t="shared" si="13"/>
        <v>3775.0678382133228</v>
      </c>
      <c r="O22" s="26">
        <f t="shared" si="13"/>
        <v>3919.8799696173082</v>
      </c>
      <c r="P22" s="26">
        <f t="shared" si="13"/>
        <v>4048.5131083567376</v>
      </c>
      <c r="Q22" s="26">
        <f t="shared" si="13"/>
        <v>4163.1745461917799</v>
      </c>
      <c r="R22" s="26">
        <f t="shared" si="13"/>
        <v>4265.7729591528305</v>
      </c>
      <c r="S22" s="26">
        <f t="shared" si="13"/>
        <v>4357.958819127296</v>
      </c>
      <c r="T22" s="26">
        <f t="shared" si="13"/>
        <v>4441.1593366252118</v>
      </c>
      <c r="U22" s="26">
        <f t="shared" si="13"/>
        <v>4516.6086748089529</v>
      </c>
      <c r="V22" s="26">
        <f t="shared" si="13"/>
        <v>4585.3740747179345</v>
      </c>
      <c r="W22" s="26">
        <f t="shared" si="13"/>
        <v>4648.3784450185758</v>
      </c>
      <c r="X22" s="26">
        <f t="shared" si="13"/>
        <v>4706.4198947286686</v>
      </c>
      <c r="Y22" s="26">
        <f t="shared" si="13"/>
        <v>4760.1886226176402</v>
      </c>
      <c r="Z22" s="26">
        <f t="shared" si="13"/>
        <v>4810.2815209988048</v>
      </c>
      <c r="AA22" s="26">
        <f t="shared" si="13"/>
        <v>4857.2148032206114</v>
      </c>
    </row>
    <row r="23" spans="1:27" s="18" customFormat="1" x14ac:dyDescent="0.45">
      <c r="B23" s="3" t="s">
        <v>17</v>
      </c>
      <c r="C23" s="5"/>
      <c r="D23" s="11">
        <f>SUM(D21:D22)</f>
        <v>735.66896551724165</v>
      </c>
      <c r="E23" s="11">
        <f t="shared" ref="E23:AA23" si="14">SUM(E21:E22)</f>
        <v>1356.2806437517247</v>
      </c>
      <c r="F23" s="11">
        <f t="shared" si="14"/>
        <v>1909.5663924023916</v>
      </c>
      <c r="G23" s="11">
        <f t="shared" si="14"/>
        <v>2404.7924097812929</v>
      </c>
      <c r="H23" s="11">
        <f>SUM(H21:H22)</f>
        <v>2849.9036146142657</v>
      </c>
      <c r="I23" s="11">
        <f t="shared" si="14"/>
        <v>3251.770068333105</v>
      </c>
      <c r="J23" s="11">
        <f t="shared" si="14"/>
        <v>3616.3325790026588</v>
      </c>
      <c r="K23" s="11">
        <f t="shared" si="14"/>
        <v>3948.7284581210588</v>
      </c>
      <c r="L23" s="11">
        <f t="shared" si="14"/>
        <v>4253.4002586998722</v>
      </c>
      <c r="M23" s="11">
        <f t="shared" si="14"/>
        <v>4534.1897980372287</v>
      </c>
      <c r="N23" s="11">
        <f t="shared" si="14"/>
        <v>4794.4194565793041</v>
      </c>
      <c r="O23" s="11">
        <f t="shared" si="14"/>
        <v>5036.9624747731777</v>
      </c>
      <c r="P23" s="11">
        <f t="shared" si="14"/>
        <v>5264.3037367921424</v>
      </c>
      <c r="Q23" s="11">
        <f t="shared" si="14"/>
        <v>5478.5923285271265</v>
      </c>
      <c r="R23" s="11">
        <f t="shared" si="14"/>
        <v>5681.6869830173255</v>
      </c>
      <c r="S23" s="11">
        <f t="shared" si="14"/>
        <v>5875.1953758495038</v>
      </c>
      <c r="T23" s="11">
        <f t="shared" si="14"/>
        <v>6060.5081027981741</v>
      </c>
      <c r="U23" s="11">
        <f t="shared" si="14"/>
        <v>6238.8280593490072</v>
      </c>
      <c r="V23" s="11">
        <f t="shared" si="14"/>
        <v>6411.1958443599997</v>
      </c>
      <c r="W23" s="11">
        <f t="shared" si="14"/>
        <v>6578.5117259063836</v>
      </c>
      <c r="X23" s="11">
        <f t="shared" si="14"/>
        <v>6741.55463454255</v>
      </c>
      <c r="Y23" s="11">
        <f t="shared" si="14"/>
        <v>6900.9985862550548</v>
      </c>
      <c r="Z23" s="11">
        <f t="shared" si="14"/>
        <v>7057.4268829418779</v>
      </c>
      <c r="AA23" s="11">
        <f t="shared" si="14"/>
        <v>7211.3443911811246</v>
      </c>
    </row>
    <row r="24" spans="1:27" s="18" customFormat="1" x14ac:dyDescent="0.45">
      <c r="B24" s="22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</row>
    <row r="25" spans="1:27" s="18" customFormat="1" x14ac:dyDescent="0.45">
      <c r="B25" s="22" t="s">
        <v>12</v>
      </c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</row>
    <row r="26" spans="1:27" s="18" customFormat="1" x14ac:dyDescent="0.45">
      <c r="B26" s="22"/>
      <c r="C26" s="18" t="s">
        <v>18</v>
      </c>
      <c r="D26" s="28">
        <f>D21*0.16*4*4 + D16*0.16*4*2</f>
        <v>483.62460689655222</v>
      </c>
      <c r="E26" s="28">
        <f t="shared" ref="E26:AA26" si="15">E21*0.16*4*4 + E16*0.16*4*2</f>
        <v>700.25651704231802</v>
      </c>
      <c r="F26" s="28">
        <f t="shared" si="15"/>
        <v>921.75458849611209</v>
      </c>
      <c r="G26" s="28">
        <f t="shared" si="15"/>
        <v>1148.1397486667329</v>
      </c>
      <c r="H26" s="28">
        <f t="shared" si="15"/>
        <v>1378.9334377937755</v>
      </c>
      <c r="I26" s="28">
        <f t="shared" si="15"/>
        <v>1613.7217527494499</v>
      </c>
      <c r="J26" s="28">
        <f t="shared" si="15"/>
        <v>1852.1477533009322</v>
      </c>
      <c r="K26" s="28">
        <f t="shared" si="15"/>
        <v>2093.9037606197194</v>
      </c>
      <c r="L26" s="28">
        <f t="shared" si="15"/>
        <v>2338.7246958243986</v>
      </c>
      <c r="M26" s="28">
        <f t="shared" si="15"/>
        <v>2586.3823200271595</v>
      </c>
      <c r="N26" s="28">
        <f t="shared" si="15"/>
        <v>2836.6802538900674</v>
      </c>
      <c r="O26" s="28">
        <f t="shared" si="15"/>
        <v>3089.449671201668</v>
      </c>
      <c r="P26" s="28">
        <f t="shared" si="15"/>
        <v>3344.5455752601647</v>
      </c>
      <c r="Q26" s="28">
        <f t="shared" si="15"/>
        <v>3601.8435791931802</v>
      </c>
      <c r="R26" s="28">
        <f t="shared" si="15"/>
        <v>3861.2371220174746</v>
      </c>
      <c r="S26" s="28">
        <f t="shared" si="15"/>
        <v>4122.635061470879</v>
      </c>
      <c r="T26" s="28">
        <f t="shared" si="15"/>
        <v>4385.9595926287238</v>
      </c>
      <c r="U26" s="28">
        <f t="shared" si="15"/>
        <v>4651.1444482170791</v>
      </c>
      <c r="V26" s="28">
        <f t="shared" si="15"/>
        <v>4918.1333425014936</v>
      </c>
      <c r="W26" s="28">
        <f t="shared" si="15"/>
        <v>5186.8786257887159</v>
      </c>
      <c r="X26" s="28">
        <f t="shared" si="15"/>
        <v>5457.340121039716</v>
      </c>
      <c r="Y26" s="28">
        <f t="shared" si="15"/>
        <v>5729.4841179493578</v>
      </c>
      <c r="Z26" s="28">
        <f t="shared" si="15"/>
        <v>6003.2825031832017</v>
      </c>
      <c r="AA26" s="28">
        <f t="shared" si="15"/>
        <v>6278.7120083457157</v>
      </c>
    </row>
    <row r="27" spans="1:27" s="18" customFormat="1" ht="14.65" thickBot="1" x14ac:dyDescent="0.5">
      <c r="B27" s="24"/>
      <c r="C27" s="25" t="s">
        <v>19</v>
      </c>
      <c r="D27" s="29">
        <f>D22*5</f>
        <v>3089.6551724137935</v>
      </c>
      <c r="E27" s="29">
        <f t="shared" ref="E27:AA27" si="16">E22*5</f>
        <v>5783.8406620689675</v>
      </c>
      <c r="F27" s="29">
        <f t="shared" si="16"/>
        <v>8129.6657514054641</v>
      </c>
      <c r="G27" s="29">
        <f t="shared" si="16"/>
        <v>10174.34423150674</v>
      </c>
      <c r="H27" s="29">
        <f t="shared" si="16"/>
        <v>11958.714697870657</v>
      </c>
      <c r="I27" s="29">
        <f t="shared" si="16"/>
        <v>13518.089608297378</v>
      </c>
      <c r="J27" s="29">
        <f t="shared" si="16"/>
        <v>14883.003097997173</v>
      </c>
      <c r="K27" s="29">
        <f t="shared" si="16"/>
        <v>16079.857623219888</v>
      </c>
      <c r="L27" s="29">
        <f t="shared" si="16"/>
        <v>17131.483095897078</v>
      </c>
      <c r="M27" s="29">
        <f t="shared" si="16"/>
        <v>18057.620351661742</v>
      </c>
      <c r="N27" s="29">
        <f t="shared" si="16"/>
        <v>18875.339191066614</v>
      </c>
      <c r="O27" s="29">
        <f t="shared" si="16"/>
        <v>19599.399848086541</v>
      </c>
      <c r="P27" s="29">
        <f t="shared" si="16"/>
        <v>20242.56554178369</v>
      </c>
      <c r="Q27" s="29">
        <f t="shared" si="16"/>
        <v>20815.872730958901</v>
      </c>
      <c r="R27" s="29">
        <f t="shared" si="16"/>
        <v>21328.864795764151</v>
      </c>
      <c r="S27" s="29">
        <f t="shared" si="16"/>
        <v>21789.79409563648</v>
      </c>
      <c r="T27" s="29">
        <f t="shared" si="16"/>
        <v>22205.79668312606</v>
      </c>
      <c r="U27" s="29">
        <f t="shared" si="16"/>
        <v>22583.043374044762</v>
      </c>
      <c r="V27" s="29">
        <f t="shared" si="16"/>
        <v>22926.870373589671</v>
      </c>
      <c r="W27" s="29">
        <f t="shared" si="16"/>
        <v>23241.892225092881</v>
      </c>
      <c r="X27" s="29">
        <f t="shared" si="16"/>
        <v>23532.099473643342</v>
      </c>
      <c r="Y27" s="29">
        <f t="shared" si="16"/>
        <v>23800.9431130882</v>
      </c>
      <c r="Z27" s="29">
        <f t="shared" si="16"/>
        <v>24051.407604994023</v>
      </c>
      <c r="AA27" s="29">
        <f t="shared" si="16"/>
        <v>24286.074016103055</v>
      </c>
    </row>
    <row r="28" spans="1:27" s="18" customFormat="1" x14ac:dyDescent="0.45">
      <c r="B28" s="3" t="s">
        <v>13</v>
      </c>
      <c r="C28" s="5"/>
      <c r="D28" s="6">
        <f>SUM(D26:D27)</f>
        <v>3573.2797793103455</v>
      </c>
      <c r="E28" s="6">
        <f t="shared" ref="E28:Z28" si="17">SUM(E26:E27)</f>
        <v>6484.0971791112852</v>
      </c>
      <c r="F28" s="6">
        <f t="shared" si="17"/>
        <v>9051.4203399015769</v>
      </c>
      <c r="G28" s="6">
        <f t="shared" si="17"/>
        <v>11322.483980173474</v>
      </c>
      <c r="H28" s="6">
        <f t="shared" si="17"/>
        <v>13337.648135664433</v>
      </c>
      <c r="I28" s="6">
        <f t="shared" si="17"/>
        <v>15131.811361046828</v>
      </c>
      <c r="J28" s="6">
        <f t="shared" si="17"/>
        <v>16735.150851298105</v>
      </c>
      <c r="K28" s="6">
        <f t="shared" si="17"/>
        <v>18173.761383839606</v>
      </c>
      <c r="L28" s="6">
        <f t="shared" si="17"/>
        <v>19470.207791721477</v>
      </c>
      <c r="M28" s="6">
        <f t="shared" si="17"/>
        <v>20644.002671688901</v>
      </c>
      <c r="N28" s="6">
        <f t="shared" si="17"/>
        <v>21712.019444956681</v>
      </c>
      <c r="O28" s="6">
        <f t="shared" si="17"/>
        <v>22688.849519288211</v>
      </c>
      <c r="P28" s="6">
        <f t="shared" si="17"/>
        <v>23587.111117043853</v>
      </c>
      <c r="Q28" s="6">
        <f t="shared" si="17"/>
        <v>24417.716310152082</v>
      </c>
      <c r="R28" s="6">
        <f t="shared" si="17"/>
        <v>25190.101917781627</v>
      </c>
      <c r="S28" s="6">
        <f t="shared" si="17"/>
        <v>25912.429157107359</v>
      </c>
      <c r="T28" s="6">
        <f t="shared" si="17"/>
        <v>26591.756275754786</v>
      </c>
      <c r="U28" s="6">
        <f t="shared" si="17"/>
        <v>27234.18782226184</v>
      </c>
      <c r="V28" s="6">
        <f t="shared" si="17"/>
        <v>27845.003716091163</v>
      </c>
      <c r="W28" s="6">
        <f t="shared" si="17"/>
        <v>28428.770850881596</v>
      </c>
      <c r="X28" s="6">
        <f t="shared" si="17"/>
        <v>28989.439594683059</v>
      </c>
      <c r="Y28" s="6">
        <f t="shared" si="17"/>
        <v>29530.42723103756</v>
      </c>
      <c r="Z28" s="6">
        <f t="shared" si="17"/>
        <v>30054.690108177223</v>
      </c>
      <c r="AA28" s="6">
        <f>SUM(AA26:AA27)</f>
        <v>30564.786024448771</v>
      </c>
    </row>
    <row r="29" spans="1:27" s="18" customFormat="1" x14ac:dyDescent="0.45"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</row>
    <row r="30" spans="1:27" s="18" customFormat="1" x14ac:dyDescent="0.45"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</row>
    <row r="31" spans="1:27" s="18" customFormat="1" x14ac:dyDescent="0.45"/>
    <row r="32" spans="1:27" s="18" customFormat="1" x14ac:dyDescent="0.45">
      <c r="A32" s="66"/>
      <c r="B32" s="66"/>
      <c r="C32" s="66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2:27" x14ac:dyDescent="0.45">
      <c r="B33" s="68"/>
      <c r="C33" s="68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</row>
    <row r="34" spans="2:27" x14ac:dyDescent="0.45">
      <c r="B34" s="68"/>
      <c r="C34" s="68"/>
    </row>
    <row r="35" spans="2:27" x14ac:dyDescent="0.45">
      <c r="B35" s="71"/>
      <c r="C35" s="71"/>
    </row>
    <row r="37" spans="2:27" x14ac:dyDescent="0.45">
      <c r="B37" s="70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</row>
    <row r="38" spans="2:27" ht="7.9" customHeight="1" x14ac:dyDescent="0.45"/>
    <row r="39" spans="2:27" x14ac:dyDescent="0.45"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</row>
    <row r="40" spans="2:27" x14ac:dyDescent="0.45"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</row>
    <row r="41" spans="2:27" x14ac:dyDescent="0.45">
      <c r="B41" s="70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</row>
    <row r="42" spans="2:27" x14ac:dyDescent="0.45">
      <c r="B42" s="70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</row>
    <row r="44" spans="2:27" x14ac:dyDescent="0.45">
      <c r="B44" s="70"/>
      <c r="C44" s="70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</row>
    <row r="46" spans="2:27" x14ac:dyDescent="0.45"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</row>
    <row r="47" spans="2:27" x14ac:dyDescent="0.45"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</row>
    <row r="48" spans="2:27" x14ac:dyDescent="0.45">
      <c r="B48" s="70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</row>
    <row r="49" spans="2:15" x14ac:dyDescent="0.45">
      <c r="B49" s="70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</row>
  </sheetData>
  <mergeCells count="6">
    <mergeCell ref="B35:C35"/>
    <mergeCell ref="B2:C3"/>
    <mergeCell ref="D2:AA2"/>
    <mergeCell ref="B4:C4"/>
    <mergeCell ref="D5:AA5"/>
    <mergeCell ref="B33:C3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FA509-9C80-4E82-AAB0-02B52ADCBD8C}">
  <dimension ref="B2:AA30"/>
  <sheetViews>
    <sheetView showGridLines="0" topLeftCell="A18" workbookViewId="0">
      <selection activeCell="D77" sqref="D77"/>
    </sheetView>
  </sheetViews>
  <sheetFormatPr defaultRowHeight="14.25" x14ac:dyDescent="0.45"/>
  <cols>
    <col min="1" max="1" width="9.06640625" style="18"/>
    <col min="2" max="2" width="4.3984375" style="18" customWidth="1"/>
    <col min="3" max="3" width="30.6640625" style="18" customWidth="1"/>
    <col min="4" max="4" width="12.53125" style="18" customWidth="1"/>
    <col min="5" max="14" width="12.46484375" style="18" customWidth="1"/>
    <col min="15" max="15" width="3.19921875" style="18" customWidth="1"/>
    <col min="16" max="27" width="12.46484375" style="18" customWidth="1"/>
    <col min="28" max="29" width="9.06640625" style="18" customWidth="1"/>
    <col min="30" max="16384" width="9.06640625" style="18"/>
  </cols>
  <sheetData>
    <row r="2" spans="2:27" ht="14.25" customHeight="1" x14ac:dyDescent="0.7">
      <c r="B2" s="54" t="s">
        <v>78</v>
      </c>
      <c r="C2" s="54"/>
      <c r="D2" s="35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2:27" ht="15.4" customHeight="1" x14ac:dyDescent="0.7">
      <c r="B3" s="54"/>
      <c r="C3" s="54"/>
      <c r="D3" s="35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2:27" ht="12.4" customHeight="1" thickBot="1" x14ac:dyDescent="0.5">
      <c r="B4" s="53" t="s">
        <v>30</v>
      </c>
      <c r="C4" s="53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</row>
    <row r="5" spans="2:27" ht="17.25" customHeight="1" x14ac:dyDescent="0.45"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6" spans="2:27" ht="15" customHeight="1" thickBot="1" x14ac:dyDescent="0.5">
      <c r="D6" s="21">
        <v>45039</v>
      </c>
      <c r="E6" s="21">
        <v>45069</v>
      </c>
      <c r="F6" s="21">
        <v>45100</v>
      </c>
      <c r="G6" s="21">
        <v>45130</v>
      </c>
      <c r="H6" s="21">
        <v>45161</v>
      </c>
      <c r="I6" s="21">
        <v>45192</v>
      </c>
      <c r="J6" s="21">
        <v>45222</v>
      </c>
      <c r="K6" s="21">
        <v>45253</v>
      </c>
      <c r="L6" s="21">
        <v>45283</v>
      </c>
      <c r="M6" s="21">
        <v>45314</v>
      </c>
      <c r="N6" s="21">
        <v>45345</v>
      </c>
      <c r="O6" s="21">
        <v>45374</v>
      </c>
      <c r="P6" s="21">
        <v>45405</v>
      </c>
      <c r="Q6" s="21">
        <v>45435</v>
      </c>
      <c r="R6" s="21">
        <v>45466</v>
      </c>
      <c r="S6" s="21">
        <v>45496</v>
      </c>
      <c r="T6" s="21">
        <v>45527</v>
      </c>
      <c r="U6" s="21">
        <v>45558</v>
      </c>
      <c r="V6" s="21">
        <v>45588</v>
      </c>
      <c r="W6" s="21">
        <v>45619</v>
      </c>
      <c r="X6" s="21">
        <v>45649</v>
      </c>
      <c r="Y6" s="21">
        <v>45680</v>
      </c>
      <c r="Z6" s="21">
        <v>45711</v>
      </c>
      <c r="AA6" s="21">
        <v>45739</v>
      </c>
    </row>
    <row r="7" spans="2:27" ht="15" customHeight="1" x14ac:dyDescent="0.45">
      <c r="B7" s="22" t="s">
        <v>0</v>
      </c>
      <c r="D7" s="36">
        <v>30000</v>
      </c>
      <c r="E7" s="37">
        <f>D26</f>
        <v>9000</v>
      </c>
      <c r="F7" s="37">
        <f t="shared" ref="F7:AA7" si="0">E26</f>
        <v>9000</v>
      </c>
      <c r="G7" s="37">
        <f t="shared" si="0"/>
        <v>9000</v>
      </c>
      <c r="H7" s="37">
        <f t="shared" si="0"/>
        <v>9000</v>
      </c>
      <c r="I7" s="37">
        <f t="shared" si="0"/>
        <v>9000</v>
      </c>
      <c r="J7" s="37">
        <f t="shared" si="0"/>
        <v>9000</v>
      </c>
      <c r="K7" s="37">
        <f t="shared" si="0"/>
        <v>9000</v>
      </c>
      <c r="L7" s="37">
        <f t="shared" si="0"/>
        <v>9000</v>
      </c>
      <c r="M7" s="37">
        <f t="shared" si="0"/>
        <v>9000</v>
      </c>
      <c r="N7" s="37">
        <f t="shared" si="0"/>
        <v>9000</v>
      </c>
      <c r="O7" s="37">
        <f t="shared" si="0"/>
        <v>9000</v>
      </c>
      <c r="P7" s="37">
        <f t="shared" si="0"/>
        <v>9000</v>
      </c>
      <c r="Q7" s="37">
        <f t="shared" si="0"/>
        <v>9000</v>
      </c>
      <c r="R7" s="37">
        <f t="shared" si="0"/>
        <v>9000</v>
      </c>
      <c r="S7" s="37">
        <f t="shared" si="0"/>
        <v>9000</v>
      </c>
      <c r="T7" s="37">
        <f t="shared" si="0"/>
        <v>9000</v>
      </c>
      <c r="U7" s="37">
        <f t="shared" si="0"/>
        <v>9000</v>
      </c>
      <c r="V7" s="37">
        <f t="shared" si="0"/>
        <v>9000</v>
      </c>
      <c r="W7" s="37">
        <f t="shared" si="0"/>
        <v>9000</v>
      </c>
      <c r="X7" s="37">
        <f t="shared" si="0"/>
        <v>9000</v>
      </c>
      <c r="Y7" s="37">
        <f t="shared" si="0"/>
        <v>9000</v>
      </c>
      <c r="Z7" s="37">
        <f t="shared" si="0"/>
        <v>9000</v>
      </c>
      <c r="AA7" s="37">
        <f t="shared" si="0"/>
        <v>9000</v>
      </c>
    </row>
    <row r="8" spans="2:27" ht="15" customHeight="1" thickBot="1" x14ac:dyDescent="0.5">
      <c r="B8" s="24" t="s">
        <v>1</v>
      </c>
      <c r="C8" s="25"/>
      <c r="D8" s="38">
        <f>Reciepts!D9</f>
        <v>3573.2797793103455</v>
      </c>
      <c r="E8" s="39">
        <f>Reciepts!E9</f>
        <v>6484.0971791112852</v>
      </c>
      <c r="F8" s="39">
        <f>Reciepts!F9</f>
        <v>9051.4203399015769</v>
      </c>
      <c r="G8" s="39">
        <f>Reciepts!G9</f>
        <v>11322.483980173474</v>
      </c>
      <c r="H8" s="39">
        <f>Reciepts!H9</f>
        <v>13337.648135664433</v>
      </c>
      <c r="I8" s="39">
        <f>Reciepts!I9</f>
        <v>15131.811361046828</v>
      </c>
      <c r="J8" s="39">
        <f>Reciepts!J9</f>
        <v>16735.150851298105</v>
      </c>
      <c r="K8" s="39">
        <f>Reciepts!K9</f>
        <v>18173.761383839606</v>
      </c>
      <c r="L8" s="39">
        <f>Reciepts!L9</f>
        <v>19470.207791721477</v>
      </c>
      <c r="M8" s="39">
        <f>Reciepts!M9</f>
        <v>20644.002671688901</v>
      </c>
      <c r="N8" s="39">
        <f>Reciepts!N9</f>
        <v>21712.019444956681</v>
      </c>
      <c r="O8" s="39">
        <f>Reciepts!O9</f>
        <v>22688.849519288211</v>
      </c>
      <c r="P8" s="39">
        <f>Reciepts!P9</f>
        <v>23587.111117043853</v>
      </c>
      <c r="Q8" s="39">
        <f>Reciepts!Q9</f>
        <v>24417.716310152082</v>
      </c>
      <c r="R8" s="39">
        <f>Reciepts!R9</f>
        <v>25190.101917781627</v>
      </c>
      <c r="S8" s="39">
        <f>Reciepts!S9</f>
        <v>25912.429157107359</v>
      </c>
      <c r="T8" s="39">
        <f>Reciepts!T9</f>
        <v>26591.756275754786</v>
      </c>
      <c r="U8" s="39">
        <f>Reciepts!U9</f>
        <v>27234.18782226184</v>
      </c>
      <c r="V8" s="39">
        <f>Reciepts!V9</f>
        <v>27845.003716091163</v>
      </c>
      <c r="W8" s="39">
        <f>Reciepts!W9</f>
        <v>28428.770850881596</v>
      </c>
      <c r="X8" s="39">
        <f>Reciepts!X9</f>
        <v>28989.439594683059</v>
      </c>
      <c r="Y8" s="39">
        <f>Reciepts!Y9</f>
        <v>29530.42723103756</v>
      </c>
      <c r="Z8" s="39">
        <f>Reciepts!Z9</f>
        <v>30054.690108177223</v>
      </c>
      <c r="AA8" s="39">
        <f>Reciepts!AA9</f>
        <v>30564.786024448771</v>
      </c>
    </row>
    <row r="9" spans="2:27" ht="15" customHeight="1" x14ac:dyDescent="0.45">
      <c r="B9" s="3" t="s">
        <v>2</v>
      </c>
      <c r="C9" s="3"/>
      <c r="D9" s="4">
        <f>SUM(D7:D8)</f>
        <v>33573.279779310345</v>
      </c>
      <c r="E9" s="4">
        <f t="shared" ref="E9:AA9" si="1">SUM(E7:E8)</f>
        <v>15484.097179111286</v>
      </c>
      <c r="F9" s="4">
        <f t="shared" si="1"/>
        <v>18051.420339901575</v>
      </c>
      <c r="G9" s="4">
        <f t="shared" si="1"/>
        <v>20322.483980173474</v>
      </c>
      <c r="H9" s="4">
        <f t="shared" si="1"/>
        <v>22337.648135664433</v>
      </c>
      <c r="I9" s="4">
        <f t="shared" si="1"/>
        <v>24131.811361046828</v>
      </c>
      <c r="J9" s="4">
        <f t="shared" si="1"/>
        <v>25735.150851298105</v>
      </c>
      <c r="K9" s="4">
        <f t="shared" si="1"/>
        <v>27173.761383839606</v>
      </c>
      <c r="L9" s="4">
        <f t="shared" si="1"/>
        <v>28470.207791721477</v>
      </c>
      <c r="M9" s="4">
        <f t="shared" si="1"/>
        <v>29644.002671688901</v>
      </c>
      <c r="N9" s="4">
        <f t="shared" si="1"/>
        <v>30712.019444956681</v>
      </c>
      <c r="O9" s="4">
        <f t="shared" si="1"/>
        <v>31688.849519288211</v>
      </c>
      <c r="P9" s="4">
        <f t="shared" si="1"/>
        <v>32587.111117043853</v>
      </c>
      <c r="Q9" s="4">
        <f t="shared" si="1"/>
        <v>33417.716310152085</v>
      </c>
      <c r="R9" s="4">
        <f t="shared" si="1"/>
        <v>34190.101917781627</v>
      </c>
      <c r="S9" s="4">
        <f t="shared" si="1"/>
        <v>34912.429157107355</v>
      </c>
      <c r="T9" s="4">
        <f t="shared" si="1"/>
        <v>35591.756275754786</v>
      </c>
      <c r="U9" s="4">
        <f t="shared" si="1"/>
        <v>36234.18782226184</v>
      </c>
      <c r="V9" s="4">
        <f t="shared" si="1"/>
        <v>36845.00371609116</v>
      </c>
      <c r="W9" s="4">
        <f t="shared" si="1"/>
        <v>37428.770850881599</v>
      </c>
      <c r="X9" s="4">
        <f t="shared" si="1"/>
        <v>37989.439594683063</v>
      </c>
      <c r="Y9" s="4">
        <f t="shared" si="1"/>
        <v>38530.42723103756</v>
      </c>
      <c r="Z9" s="4">
        <f t="shared" si="1"/>
        <v>39054.690108177223</v>
      </c>
      <c r="AA9" s="4">
        <f t="shared" si="1"/>
        <v>39564.786024448767</v>
      </c>
    </row>
    <row r="10" spans="2:27" ht="15" customHeight="1" x14ac:dyDescent="0.45">
      <c r="B10" s="22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</row>
    <row r="11" spans="2:27" ht="15" customHeight="1" x14ac:dyDescent="0.45">
      <c r="B11" s="40" t="s">
        <v>43</v>
      </c>
      <c r="C11" s="41"/>
      <c r="D11" s="36">
        <f>Disbursements!G10</f>
        <v>8463.4482758620688</v>
      </c>
      <c r="E11" s="36">
        <f>Disbursements!H10</f>
        <v>8867.5760993103449</v>
      </c>
      <c r="F11" s="36">
        <f>Disbursements!I10</f>
        <v>9219.4498627108187</v>
      </c>
      <c r="G11" s="36">
        <f>Disbursements!J10</f>
        <v>9526.1516347260113</v>
      </c>
      <c r="H11" s="36">
        <f>Disbursements!K10</f>
        <v>9793.8072046805992</v>
      </c>
      <c r="I11" s="36">
        <f>Disbursements!L10</f>
        <v>10027.713441244607</v>
      </c>
      <c r="J11" s="36">
        <f>Disbursements!M10</f>
        <v>10232.450464699576</v>
      </c>
      <c r="K11" s="36">
        <f>Disbursements!N10</f>
        <v>10411.978643482984</v>
      </c>
      <c r="L11" s="36">
        <f>Disbursements!O10</f>
        <v>10569.722464384562</v>
      </c>
      <c r="M11" s="36">
        <f>Disbursements!P10</f>
        <v>10708.643052749261</v>
      </c>
      <c r="N11" s="36">
        <f>Disbursements!Q10</f>
        <v>10831.300878659993</v>
      </c>
      <c r="O11" s="36">
        <f>Disbursements!R10</f>
        <v>10939.909977212981</v>
      </c>
      <c r="P11" s="36">
        <f>Disbursements!G16</f>
        <v>11036.384831267553</v>
      </c>
      <c r="Q11" s="36">
        <f>Disbursements!H16</f>
        <v>11122.380909643834</v>
      </c>
      <c r="R11" s="36">
        <f>Disbursements!I16</f>
        <v>11199.329719364623</v>
      </c>
      <c r="S11" s="36">
        <f>Disbursements!J16</f>
        <v>11268.469114345473</v>
      </c>
      <c r="T11" s="36">
        <f>Disbursements!K16</f>
        <v>11330.86950246891</v>
      </c>
      <c r="U11" s="36">
        <f>Disbursements!L16</f>
        <v>11387.456506106715</v>
      </c>
      <c r="V11" s="36">
        <f>Disbursements!M16</f>
        <v>11439.030556038451</v>
      </c>
      <c r="W11" s="36">
        <f>Disbursements!N16</f>
        <v>11486.283833763931</v>
      </c>
      <c r="X11" s="36">
        <f>Disbursements!O16</f>
        <v>11529.814921046502</v>
      </c>
      <c r="Y11" s="36">
        <f>Disbursements!P16</f>
        <v>11570.14146696323</v>
      </c>
      <c r="Z11" s="36">
        <f>Disbursements!Q16</f>
        <v>11607.711140749103</v>
      </c>
      <c r="AA11" s="36">
        <f>Disbursements!R16</f>
        <v>11642.911102415459</v>
      </c>
    </row>
    <row r="12" spans="2:27" ht="15" customHeight="1" x14ac:dyDescent="0.45">
      <c r="B12" s="22"/>
      <c r="C12" s="18" t="s">
        <v>27</v>
      </c>
      <c r="D12" s="36">
        <f>1800*3+7.7*7+45+12.8</f>
        <v>5511.7</v>
      </c>
      <c r="E12" s="36">
        <f>7.7*7+45+12.8</f>
        <v>111.7</v>
      </c>
      <c r="F12" s="36">
        <f t="shared" ref="F12:AA12" si="2">7.7*7+45+12.8</f>
        <v>111.7</v>
      </c>
      <c r="G12" s="36">
        <f t="shared" si="2"/>
        <v>111.7</v>
      </c>
      <c r="H12" s="36">
        <f t="shared" si="2"/>
        <v>111.7</v>
      </c>
      <c r="I12" s="36">
        <f t="shared" si="2"/>
        <v>111.7</v>
      </c>
      <c r="J12" s="36">
        <f t="shared" si="2"/>
        <v>111.7</v>
      </c>
      <c r="K12" s="36">
        <f t="shared" si="2"/>
        <v>111.7</v>
      </c>
      <c r="L12" s="36">
        <f t="shared" si="2"/>
        <v>111.7</v>
      </c>
      <c r="M12" s="36">
        <f t="shared" si="2"/>
        <v>111.7</v>
      </c>
      <c r="N12" s="36">
        <f t="shared" si="2"/>
        <v>111.7</v>
      </c>
      <c r="O12" s="36">
        <f t="shared" si="2"/>
        <v>111.7</v>
      </c>
      <c r="P12" s="36">
        <f t="shared" si="2"/>
        <v>111.7</v>
      </c>
      <c r="Q12" s="36">
        <f t="shared" si="2"/>
        <v>111.7</v>
      </c>
      <c r="R12" s="36">
        <f t="shared" si="2"/>
        <v>111.7</v>
      </c>
      <c r="S12" s="36">
        <f t="shared" si="2"/>
        <v>111.7</v>
      </c>
      <c r="T12" s="36">
        <f t="shared" si="2"/>
        <v>111.7</v>
      </c>
      <c r="U12" s="36">
        <f t="shared" si="2"/>
        <v>111.7</v>
      </c>
      <c r="V12" s="36">
        <f t="shared" si="2"/>
        <v>111.7</v>
      </c>
      <c r="W12" s="36">
        <f t="shared" si="2"/>
        <v>111.7</v>
      </c>
      <c r="X12" s="36">
        <f t="shared" si="2"/>
        <v>111.7</v>
      </c>
      <c r="Y12" s="36">
        <f t="shared" si="2"/>
        <v>111.7</v>
      </c>
      <c r="Z12" s="36">
        <f t="shared" si="2"/>
        <v>111.7</v>
      </c>
      <c r="AA12" s="36">
        <f t="shared" si="2"/>
        <v>111.7</v>
      </c>
    </row>
    <row r="13" spans="2:27" ht="15" customHeight="1" x14ac:dyDescent="0.45">
      <c r="B13" s="22"/>
      <c r="C13" s="18" t="s">
        <v>22</v>
      </c>
      <c r="D13" s="36">
        <f>40*40*4 + 2200*2</f>
        <v>10800</v>
      </c>
      <c r="E13" s="36">
        <f>D13</f>
        <v>10800</v>
      </c>
      <c r="F13" s="36">
        <f t="shared" ref="F13:AA14" si="3">E13</f>
        <v>10800</v>
      </c>
      <c r="G13" s="36">
        <f t="shared" si="3"/>
        <v>10800</v>
      </c>
      <c r="H13" s="36">
        <f t="shared" si="3"/>
        <v>10800</v>
      </c>
      <c r="I13" s="36">
        <f t="shared" si="3"/>
        <v>10800</v>
      </c>
      <c r="J13" s="36">
        <f t="shared" si="3"/>
        <v>10800</v>
      </c>
      <c r="K13" s="36">
        <f t="shared" si="3"/>
        <v>10800</v>
      </c>
      <c r="L13" s="36">
        <f t="shared" si="3"/>
        <v>10800</v>
      </c>
      <c r="M13" s="36">
        <f t="shared" si="3"/>
        <v>10800</v>
      </c>
      <c r="N13" s="36">
        <f t="shared" si="3"/>
        <v>10800</v>
      </c>
      <c r="O13" s="36">
        <f t="shared" si="3"/>
        <v>10800</v>
      </c>
      <c r="P13" s="36">
        <f t="shared" si="3"/>
        <v>10800</v>
      </c>
      <c r="Q13" s="36">
        <f t="shared" si="3"/>
        <v>10800</v>
      </c>
      <c r="R13" s="36">
        <f t="shared" si="3"/>
        <v>10800</v>
      </c>
      <c r="S13" s="36">
        <f t="shared" si="3"/>
        <v>10800</v>
      </c>
      <c r="T13" s="36">
        <f t="shared" si="3"/>
        <v>10800</v>
      </c>
      <c r="U13" s="36">
        <f t="shared" si="3"/>
        <v>10800</v>
      </c>
      <c r="V13" s="36">
        <f t="shared" si="3"/>
        <v>10800</v>
      </c>
      <c r="W13" s="36">
        <f t="shared" si="3"/>
        <v>10800</v>
      </c>
      <c r="X13" s="36">
        <f t="shared" si="3"/>
        <v>10800</v>
      </c>
      <c r="Y13" s="36">
        <f t="shared" si="3"/>
        <v>10800</v>
      </c>
      <c r="Z13" s="36">
        <f t="shared" si="3"/>
        <v>10800</v>
      </c>
      <c r="AA13" s="36">
        <f t="shared" si="3"/>
        <v>10800</v>
      </c>
    </row>
    <row r="14" spans="2:27" ht="15" customHeight="1" x14ac:dyDescent="0.45">
      <c r="B14" s="22"/>
      <c r="C14" s="18" t="s">
        <v>26</v>
      </c>
      <c r="D14" s="36">
        <v>30</v>
      </c>
      <c r="E14" s="36">
        <f>D14</f>
        <v>30</v>
      </c>
      <c r="F14" s="36">
        <f t="shared" si="3"/>
        <v>30</v>
      </c>
      <c r="G14" s="36">
        <f t="shared" si="3"/>
        <v>30</v>
      </c>
      <c r="H14" s="36">
        <f t="shared" si="3"/>
        <v>30</v>
      </c>
      <c r="I14" s="36">
        <f t="shared" si="3"/>
        <v>30</v>
      </c>
      <c r="J14" s="36">
        <f t="shared" si="3"/>
        <v>30</v>
      </c>
      <c r="K14" s="36">
        <f t="shared" si="3"/>
        <v>30</v>
      </c>
      <c r="L14" s="36">
        <f t="shared" si="3"/>
        <v>30</v>
      </c>
      <c r="M14" s="36">
        <f t="shared" si="3"/>
        <v>30</v>
      </c>
      <c r="N14" s="36">
        <f t="shared" si="3"/>
        <v>30</v>
      </c>
      <c r="O14" s="36">
        <f t="shared" si="3"/>
        <v>30</v>
      </c>
      <c r="P14" s="36">
        <f t="shared" si="3"/>
        <v>30</v>
      </c>
      <c r="Q14" s="36">
        <f t="shared" si="3"/>
        <v>30</v>
      </c>
      <c r="R14" s="36">
        <f t="shared" si="3"/>
        <v>30</v>
      </c>
      <c r="S14" s="36">
        <f t="shared" si="3"/>
        <v>30</v>
      </c>
      <c r="T14" s="36">
        <f t="shared" si="3"/>
        <v>30</v>
      </c>
      <c r="U14" s="36">
        <f t="shared" si="3"/>
        <v>30</v>
      </c>
      <c r="V14" s="36">
        <f t="shared" si="3"/>
        <v>30</v>
      </c>
      <c r="W14" s="36">
        <f t="shared" si="3"/>
        <v>30</v>
      </c>
      <c r="X14" s="36">
        <f t="shared" si="3"/>
        <v>30</v>
      </c>
      <c r="Y14" s="36">
        <f t="shared" si="3"/>
        <v>30</v>
      </c>
      <c r="Z14" s="36">
        <f t="shared" si="3"/>
        <v>30</v>
      </c>
      <c r="AA14" s="36">
        <f t="shared" si="3"/>
        <v>30</v>
      </c>
    </row>
    <row r="15" spans="2:27" ht="15" customHeight="1" x14ac:dyDescent="0.45">
      <c r="B15" s="22"/>
      <c r="C15" s="18" t="s">
        <v>44</v>
      </c>
      <c r="D15" s="36">
        <v>60</v>
      </c>
      <c r="E15" s="36">
        <v>60</v>
      </c>
      <c r="F15" s="36">
        <v>60</v>
      </c>
      <c r="G15" s="36">
        <v>60</v>
      </c>
      <c r="H15" s="36">
        <v>60</v>
      </c>
      <c r="I15" s="36">
        <v>60</v>
      </c>
      <c r="J15" s="36">
        <v>60</v>
      </c>
      <c r="K15" s="36">
        <v>60</v>
      </c>
      <c r="L15" s="36">
        <v>60</v>
      </c>
      <c r="M15" s="36">
        <v>60</v>
      </c>
      <c r="N15" s="36">
        <v>60</v>
      </c>
      <c r="O15" s="36">
        <v>60</v>
      </c>
      <c r="P15" s="36">
        <v>60</v>
      </c>
      <c r="Q15" s="36">
        <v>60</v>
      </c>
      <c r="R15" s="36">
        <v>60</v>
      </c>
      <c r="S15" s="36">
        <v>60</v>
      </c>
      <c r="T15" s="36">
        <v>60</v>
      </c>
      <c r="U15" s="36">
        <v>60</v>
      </c>
      <c r="V15" s="36">
        <v>60</v>
      </c>
      <c r="W15" s="36">
        <v>60</v>
      </c>
      <c r="X15" s="36">
        <v>60</v>
      </c>
      <c r="Y15" s="36">
        <v>60</v>
      </c>
      <c r="Z15" s="36">
        <v>60</v>
      </c>
      <c r="AA15" s="36">
        <v>60</v>
      </c>
    </row>
    <row r="16" spans="2:27" ht="15" customHeight="1" x14ac:dyDescent="0.45">
      <c r="B16" s="22"/>
      <c r="C16" s="18" t="s">
        <v>52</v>
      </c>
      <c r="D16" s="36">
        <v>200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50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</row>
    <row r="17" spans="2:27" ht="15" customHeight="1" thickBot="1" x14ac:dyDescent="0.5">
      <c r="B17" s="24"/>
      <c r="C17" s="25" t="s">
        <v>3</v>
      </c>
      <c r="D17" s="39">
        <v>0</v>
      </c>
      <c r="E17" s="39">
        <f>D25*0.065/12</f>
        <v>2.6642876896551724</v>
      </c>
      <c r="F17" s="39">
        <f t="shared" ref="F17:AA17" si="4">E25*0.065/12</f>
        <v>75.181771732385698</v>
      </c>
      <c r="G17" s="39">
        <f t="shared" si="4"/>
        <v>136.09170791115287</v>
      </c>
      <c r="H17" s="39">
        <f t="shared" si="4"/>
        <v>186.69127945783123</v>
      </c>
      <c r="I17" s="39">
        <f t="shared" si="4"/>
        <v>228.0992605120654</v>
      </c>
      <c r="J17" s="39">
        <f t="shared" si="4"/>
        <v>261.28014277424376</v>
      </c>
      <c r="K17" s="39">
        <f t="shared" si="4"/>
        <v>287.06499145352888</v>
      </c>
      <c r="L17" s="39">
        <f t="shared" si="4"/>
        <v>306.16947864697045</v>
      </c>
      <c r="M17" s="39">
        <f t="shared" si="4"/>
        <v>319.2094761332333</v>
      </c>
      <c r="N17" s="39">
        <f t="shared" si="4"/>
        <v>326.71453785969857</v>
      </c>
      <c r="O17" s="39">
        <f t="shared" si="4"/>
        <v>329.13955770566486</v>
      </c>
      <c r="P17" s="39">
        <f t="shared" si="4"/>
        <v>327.14568279032977</v>
      </c>
      <c r="Q17" s="39">
        <f t="shared" si="4"/>
        <v>320.52716285748909</v>
      </c>
      <c r="R17" s="39">
        <f t="shared" si="4"/>
        <v>309.83949323688074</v>
      </c>
      <c r="S17" s="39">
        <f t="shared" si="4"/>
        <v>295.32698275048847</v>
      </c>
      <c r="T17" s="39">
        <f t="shared" si="4"/>
        <v>277.19776200876009</v>
      </c>
      <c r="U17" s="39">
        <f t="shared" si="4"/>
        <v>255.62865486434245</v>
      </c>
      <c r="V17" s="39">
        <f t="shared" si="4"/>
        <v>230.76939044901738</v>
      </c>
      <c r="W17" s="39">
        <f t="shared" si="4"/>
        <v>202.74624503033075</v>
      </c>
      <c r="X17" s="39">
        <f t="shared" si="4"/>
        <v>171.66519084819097</v>
      </c>
      <c r="Y17" s="39">
        <f t="shared" si="4"/>
        <v>137.61461864975399</v>
      </c>
      <c r="Z17" s="39">
        <f t="shared" si="4"/>
        <v>100.66769161203756</v>
      </c>
      <c r="AA17" s="39">
        <f t="shared" si="4"/>
        <v>60.884380534700433</v>
      </c>
    </row>
    <row r="18" spans="2:27" ht="15" customHeight="1" x14ac:dyDescent="0.45">
      <c r="B18" s="3" t="s">
        <v>4</v>
      </c>
      <c r="C18" s="3"/>
      <c r="D18" s="4">
        <f t="shared" ref="D18:AA18" si="5">SUM(D11:D17)</f>
        <v>25065.14827586207</v>
      </c>
      <c r="E18" s="4">
        <f t="shared" si="5"/>
        <v>19871.940386999999</v>
      </c>
      <c r="F18" s="4">
        <f t="shared" si="5"/>
        <v>20296.331634443206</v>
      </c>
      <c r="G18" s="4">
        <f t="shared" si="5"/>
        <v>20663.943342637165</v>
      </c>
      <c r="H18" s="4">
        <f t="shared" si="5"/>
        <v>20982.198484138433</v>
      </c>
      <c r="I18" s="4">
        <f t="shared" si="5"/>
        <v>21257.512701756674</v>
      </c>
      <c r="J18" s="4">
        <f t="shared" si="5"/>
        <v>21495.43060747382</v>
      </c>
      <c r="K18" s="4">
        <f t="shared" si="5"/>
        <v>21700.743634936513</v>
      </c>
      <c r="L18" s="4">
        <f t="shared" si="5"/>
        <v>21877.591943031533</v>
      </c>
      <c r="M18" s="4">
        <f t="shared" si="5"/>
        <v>22029.552528882494</v>
      </c>
      <c r="N18" s="4">
        <f t="shared" si="5"/>
        <v>22159.715416519692</v>
      </c>
      <c r="O18" s="4">
        <f t="shared" si="5"/>
        <v>22320.749534918647</v>
      </c>
      <c r="P18" s="4">
        <f t="shared" si="5"/>
        <v>22365.230514057883</v>
      </c>
      <c r="Q18" s="4">
        <f t="shared" si="5"/>
        <v>22444.608072501323</v>
      </c>
      <c r="R18" s="4">
        <f t="shared" si="5"/>
        <v>22510.869212601505</v>
      </c>
      <c r="S18" s="4">
        <f t="shared" si="5"/>
        <v>22565.496097095962</v>
      </c>
      <c r="T18" s="4">
        <f t="shared" si="5"/>
        <v>22609.767264477672</v>
      </c>
      <c r="U18" s="4">
        <f t="shared" si="5"/>
        <v>22644.78516097106</v>
      </c>
      <c r="V18" s="4">
        <f t="shared" si="5"/>
        <v>22671.499946487471</v>
      </c>
      <c r="W18" s="4">
        <f t="shared" si="5"/>
        <v>22690.730078794262</v>
      </c>
      <c r="X18" s="4">
        <f t="shared" si="5"/>
        <v>22703.180111894693</v>
      </c>
      <c r="Y18" s="4">
        <f t="shared" si="5"/>
        <v>22709.456085612986</v>
      </c>
      <c r="Z18" s="4">
        <f t="shared" si="5"/>
        <v>22710.078832361141</v>
      </c>
      <c r="AA18" s="4">
        <f t="shared" si="5"/>
        <v>22705.495482950158</v>
      </c>
    </row>
    <row r="19" spans="2:27" ht="15" customHeight="1" x14ac:dyDescent="0.45">
      <c r="B19" s="59"/>
      <c r="C19" s="59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</row>
    <row r="20" spans="2:27" ht="15" customHeight="1" x14ac:dyDescent="0.45">
      <c r="B20" s="59" t="s">
        <v>5</v>
      </c>
      <c r="C20" s="59"/>
      <c r="D20" s="37">
        <f t="shared" ref="D20:AA20" si="6">D9-D18</f>
        <v>8508.1315034482759</v>
      </c>
      <c r="E20" s="37">
        <f t="shared" si="6"/>
        <v>-4387.8432078887126</v>
      </c>
      <c r="F20" s="37">
        <f t="shared" si="6"/>
        <v>-2244.9112945416309</v>
      </c>
      <c r="G20" s="37">
        <f t="shared" si="6"/>
        <v>-341.45936246369092</v>
      </c>
      <c r="H20" s="37">
        <f t="shared" si="6"/>
        <v>1355.4496515259998</v>
      </c>
      <c r="I20" s="37">
        <f t="shared" si="6"/>
        <v>2874.2986592901543</v>
      </c>
      <c r="J20" s="37">
        <f t="shared" si="6"/>
        <v>4239.7202438242857</v>
      </c>
      <c r="K20" s="37">
        <f t="shared" si="6"/>
        <v>5473.0177489030939</v>
      </c>
      <c r="L20" s="37">
        <f t="shared" si="6"/>
        <v>6592.615848689944</v>
      </c>
      <c r="M20" s="37">
        <f t="shared" si="6"/>
        <v>7614.4501428064068</v>
      </c>
      <c r="N20" s="37">
        <f t="shared" si="6"/>
        <v>8552.304028436989</v>
      </c>
      <c r="O20" s="37">
        <f t="shared" si="6"/>
        <v>9368.0999843695645</v>
      </c>
      <c r="P20" s="37">
        <f t="shared" si="6"/>
        <v>10221.88060298597</v>
      </c>
      <c r="Q20" s="37">
        <f t="shared" si="6"/>
        <v>10973.108237650762</v>
      </c>
      <c r="R20" s="37">
        <f t="shared" si="6"/>
        <v>11679.232705180122</v>
      </c>
      <c r="S20" s="37">
        <f t="shared" si="6"/>
        <v>12346.933060011394</v>
      </c>
      <c r="T20" s="37">
        <f t="shared" si="6"/>
        <v>12981.989011277114</v>
      </c>
      <c r="U20" s="37">
        <f t="shared" si="6"/>
        <v>13589.40266129078</v>
      </c>
      <c r="V20" s="37">
        <f t="shared" si="6"/>
        <v>14173.503769603689</v>
      </c>
      <c r="W20" s="37">
        <f t="shared" si="6"/>
        <v>14738.040772087337</v>
      </c>
      <c r="X20" s="37">
        <f t="shared" si="6"/>
        <v>15286.259482788369</v>
      </c>
      <c r="Y20" s="37">
        <f t="shared" si="6"/>
        <v>15820.971145424573</v>
      </c>
      <c r="Z20" s="37">
        <f t="shared" si="6"/>
        <v>16344.611275816082</v>
      </c>
      <c r="AA20" s="37">
        <f t="shared" si="6"/>
        <v>16859.290541498609</v>
      </c>
    </row>
    <row r="21" spans="2:27" ht="15" customHeight="1" x14ac:dyDescent="0.45">
      <c r="B21" s="59" t="s">
        <v>6</v>
      </c>
      <c r="C21" s="59"/>
      <c r="D21" s="37">
        <v>9000</v>
      </c>
      <c r="E21" s="37">
        <v>9000</v>
      </c>
      <c r="F21" s="37">
        <v>9000</v>
      </c>
      <c r="G21" s="37">
        <v>9000</v>
      </c>
      <c r="H21" s="37">
        <v>9000</v>
      </c>
      <c r="I21" s="37">
        <v>9000</v>
      </c>
      <c r="J21" s="37">
        <v>9000</v>
      </c>
      <c r="K21" s="37">
        <v>9000</v>
      </c>
      <c r="L21" s="37">
        <v>9000</v>
      </c>
      <c r="M21" s="37">
        <v>9000</v>
      </c>
      <c r="N21" s="37">
        <v>9000</v>
      </c>
      <c r="O21" s="37">
        <v>9000</v>
      </c>
      <c r="P21" s="37">
        <v>9000</v>
      </c>
      <c r="Q21" s="37">
        <v>9000</v>
      </c>
      <c r="R21" s="37">
        <v>9000</v>
      </c>
      <c r="S21" s="37">
        <v>9000</v>
      </c>
      <c r="T21" s="37">
        <v>9000</v>
      </c>
      <c r="U21" s="37">
        <v>9000</v>
      </c>
      <c r="V21" s="37">
        <v>9000</v>
      </c>
      <c r="W21" s="37">
        <v>9000</v>
      </c>
      <c r="X21" s="37">
        <v>9000</v>
      </c>
      <c r="Y21" s="37">
        <v>9000</v>
      </c>
      <c r="Z21" s="37">
        <v>9000</v>
      </c>
      <c r="AA21" s="37">
        <v>9000</v>
      </c>
    </row>
    <row r="22" spans="2:27" ht="15" customHeight="1" x14ac:dyDescent="0.45">
      <c r="B22" s="59" t="s">
        <v>7</v>
      </c>
      <c r="C22" s="59"/>
      <c r="D22" s="37">
        <f>MAX(0, D21-D20)</f>
        <v>491.86849655172409</v>
      </c>
      <c r="E22" s="37">
        <f>MAX(E21-E20,0)</f>
        <v>13387.843207888713</v>
      </c>
      <c r="F22" s="37">
        <f t="shared" ref="F22:AA22" si="7">MAX(F21-F20,0)</f>
        <v>11244.911294541631</v>
      </c>
      <c r="G22" s="37">
        <f t="shared" si="7"/>
        <v>9341.4593624636909</v>
      </c>
      <c r="H22" s="37">
        <f t="shared" si="7"/>
        <v>7644.5503484740002</v>
      </c>
      <c r="I22" s="37">
        <f t="shared" si="7"/>
        <v>6125.7013407098457</v>
      </c>
      <c r="J22" s="37">
        <f t="shared" si="7"/>
        <v>4760.2797561757143</v>
      </c>
      <c r="K22" s="37">
        <f t="shared" si="7"/>
        <v>3526.9822510969061</v>
      </c>
      <c r="L22" s="37">
        <f t="shared" si="7"/>
        <v>2407.384151310056</v>
      </c>
      <c r="M22" s="37">
        <f t="shared" si="7"/>
        <v>1385.5498571935932</v>
      </c>
      <c r="N22" s="37">
        <f t="shared" si="7"/>
        <v>447.69597156301097</v>
      </c>
      <c r="O22" s="37">
        <f t="shared" si="7"/>
        <v>0</v>
      </c>
      <c r="P22" s="37">
        <f t="shared" si="7"/>
        <v>0</v>
      </c>
      <c r="Q22" s="37">
        <f t="shared" si="7"/>
        <v>0</v>
      </c>
      <c r="R22" s="37">
        <f t="shared" si="7"/>
        <v>0</v>
      </c>
      <c r="S22" s="37">
        <f t="shared" si="7"/>
        <v>0</v>
      </c>
      <c r="T22" s="37">
        <f t="shared" si="7"/>
        <v>0</v>
      </c>
      <c r="U22" s="37">
        <f t="shared" si="7"/>
        <v>0</v>
      </c>
      <c r="V22" s="37">
        <f t="shared" si="7"/>
        <v>0</v>
      </c>
      <c r="W22" s="37">
        <f t="shared" si="7"/>
        <v>0</v>
      </c>
      <c r="X22" s="37">
        <f t="shared" si="7"/>
        <v>0</v>
      </c>
      <c r="Y22" s="37">
        <f t="shared" si="7"/>
        <v>0</v>
      </c>
      <c r="Z22" s="37">
        <f t="shared" si="7"/>
        <v>0</v>
      </c>
      <c r="AA22" s="37">
        <f t="shared" si="7"/>
        <v>0</v>
      </c>
    </row>
    <row r="23" spans="2:27" ht="15" customHeight="1" x14ac:dyDescent="0.45">
      <c r="B23" s="59" t="s">
        <v>8</v>
      </c>
      <c r="C23" s="59"/>
      <c r="D23" s="37">
        <f>MAX(D20-D21,0)</f>
        <v>0</v>
      </c>
      <c r="E23" s="37">
        <f>MAX(E20-E21,0)</f>
        <v>0</v>
      </c>
      <c r="F23" s="37">
        <f t="shared" ref="F23:AA23" si="8">MAX(F20-F21,0)</f>
        <v>0</v>
      </c>
      <c r="G23" s="37">
        <f t="shared" si="8"/>
        <v>0</v>
      </c>
      <c r="H23" s="37">
        <f t="shared" si="8"/>
        <v>0</v>
      </c>
      <c r="I23" s="37">
        <f t="shared" si="8"/>
        <v>0</v>
      </c>
      <c r="J23" s="37">
        <f t="shared" si="8"/>
        <v>0</v>
      </c>
      <c r="K23" s="37">
        <f t="shared" si="8"/>
        <v>0</v>
      </c>
      <c r="L23" s="37">
        <f t="shared" si="8"/>
        <v>0</v>
      </c>
      <c r="M23" s="37">
        <f t="shared" si="8"/>
        <v>0</v>
      </c>
      <c r="N23" s="37">
        <f t="shared" si="8"/>
        <v>0</v>
      </c>
      <c r="O23" s="37">
        <f t="shared" si="8"/>
        <v>368.09998436956448</v>
      </c>
      <c r="P23" s="37">
        <f t="shared" si="8"/>
        <v>1221.8806029859697</v>
      </c>
      <c r="Q23" s="37">
        <f t="shared" si="8"/>
        <v>1973.108237650762</v>
      </c>
      <c r="R23" s="37">
        <f t="shared" si="8"/>
        <v>2679.2327051801221</v>
      </c>
      <c r="S23" s="37">
        <f t="shared" si="8"/>
        <v>3346.9330600113935</v>
      </c>
      <c r="T23" s="37">
        <f t="shared" si="8"/>
        <v>3981.9890112771136</v>
      </c>
      <c r="U23" s="37">
        <f t="shared" si="8"/>
        <v>4589.4026612907801</v>
      </c>
      <c r="V23" s="37">
        <f t="shared" si="8"/>
        <v>5173.5037696036889</v>
      </c>
      <c r="W23" s="37">
        <f t="shared" si="8"/>
        <v>5738.0407720873372</v>
      </c>
      <c r="X23" s="37">
        <f t="shared" si="8"/>
        <v>6286.2594827883695</v>
      </c>
      <c r="Y23" s="37">
        <f t="shared" si="8"/>
        <v>6820.9711454245735</v>
      </c>
      <c r="Z23" s="37">
        <f t="shared" si="8"/>
        <v>7344.6112758160816</v>
      </c>
      <c r="AA23" s="37">
        <f t="shared" si="8"/>
        <v>7859.2905414986089</v>
      </c>
    </row>
    <row r="24" spans="2:27" ht="15" customHeight="1" x14ac:dyDescent="0.45">
      <c r="B24" s="59" t="s">
        <v>9</v>
      </c>
      <c r="C24" s="59"/>
      <c r="D24" s="37">
        <f>0</f>
        <v>0</v>
      </c>
      <c r="E24" s="37">
        <f>MIN(E23,D25)</f>
        <v>0</v>
      </c>
      <c r="F24" s="37">
        <f t="shared" ref="F24:AA24" si="9">MIN(F23,E25)</f>
        <v>0</v>
      </c>
      <c r="G24" s="37">
        <f t="shared" si="9"/>
        <v>0</v>
      </c>
      <c r="H24" s="37">
        <f t="shared" si="9"/>
        <v>0</v>
      </c>
      <c r="I24" s="37">
        <f t="shared" si="9"/>
        <v>0</v>
      </c>
      <c r="J24" s="37">
        <f t="shared" si="9"/>
        <v>0</v>
      </c>
      <c r="K24" s="37">
        <f t="shared" si="9"/>
        <v>0</v>
      </c>
      <c r="L24" s="37">
        <f t="shared" si="9"/>
        <v>0</v>
      </c>
      <c r="M24" s="37">
        <f t="shared" si="9"/>
        <v>0</v>
      </c>
      <c r="N24" s="37">
        <f t="shared" si="9"/>
        <v>0</v>
      </c>
      <c r="O24" s="37">
        <f t="shared" si="9"/>
        <v>368.09998436956448</v>
      </c>
      <c r="P24" s="37">
        <f t="shared" si="9"/>
        <v>1221.8806029859697</v>
      </c>
      <c r="Q24" s="37">
        <f t="shared" si="9"/>
        <v>1973.108237650762</v>
      </c>
      <c r="R24" s="37">
        <f t="shared" si="9"/>
        <v>2679.2327051801221</v>
      </c>
      <c r="S24" s="37">
        <f t="shared" si="9"/>
        <v>3346.9330600113935</v>
      </c>
      <c r="T24" s="37">
        <f t="shared" si="9"/>
        <v>3981.9890112771136</v>
      </c>
      <c r="U24" s="37">
        <f t="shared" si="9"/>
        <v>4589.4026612907801</v>
      </c>
      <c r="V24" s="37">
        <f t="shared" si="9"/>
        <v>5173.5037696036889</v>
      </c>
      <c r="W24" s="37">
        <f t="shared" si="9"/>
        <v>5738.0407720873372</v>
      </c>
      <c r="X24" s="37">
        <f t="shared" si="9"/>
        <v>6286.2594827883695</v>
      </c>
      <c r="Y24" s="37">
        <f t="shared" si="9"/>
        <v>6820.9711454245735</v>
      </c>
      <c r="Z24" s="37">
        <f t="shared" si="9"/>
        <v>7344.6112758160816</v>
      </c>
      <c r="AA24" s="37">
        <f t="shared" si="9"/>
        <v>7859.2905414986089</v>
      </c>
    </row>
    <row r="25" spans="2:27" ht="15" customHeight="1" thickBot="1" x14ac:dyDescent="0.5">
      <c r="B25" s="60" t="s">
        <v>10</v>
      </c>
      <c r="C25" s="60"/>
      <c r="D25" s="38">
        <f>D22</f>
        <v>491.86849655172409</v>
      </c>
      <c r="E25" s="39">
        <f>E22+D25-E24</f>
        <v>13879.711704440437</v>
      </c>
      <c r="F25" s="39">
        <f t="shared" ref="F25:AA25" si="10">F22+E25-F24</f>
        <v>25124.622998982068</v>
      </c>
      <c r="G25" s="39">
        <f t="shared" si="10"/>
        <v>34466.082361445762</v>
      </c>
      <c r="H25" s="39">
        <f t="shared" si="10"/>
        <v>42110.632709919766</v>
      </c>
      <c r="I25" s="39">
        <f t="shared" si="10"/>
        <v>48236.334050629608</v>
      </c>
      <c r="J25" s="39">
        <f t="shared" si="10"/>
        <v>52996.613806805326</v>
      </c>
      <c r="K25" s="39">
        <f t="shared" si="10"/>
        <v>56523.596057902236</v>
      </c>
      <c r="L25" s="39">
        <f t="shared" si="10"/>
        <v>58930.980209212292</v>
      </c>
      <c r="M25" s="39">
        <f t="shared" si="10"/>
        <v>60316.530066405889</v>
      </c>
      <c r="N25" s="39">
        <f t="shared" si="10"/>
        <v>60764.226037968896</v>
      </c>
      <c r="O25" s="39">
        <f t="shared" si="10"/>
        <v>60396.126053599335</v>
      </c>
      <c r="P25" s="39">
        <f t="shared" si="10"/>
        <v>59174.245450613365</v>
      </c>
      <c r="Q25" s="39">
        <f t="shared" si="10"/>
        <v>57201.137212962603</v>
      </c>
      <c r="R25" s="39">
        <f t="shared" si="10"/>
        <v>54521.904507782485</v>
      </c>
      <c r="S25" s="39">
        <f t="shared" si="10"/>
        <v>51174.971447771095</v>
      </c>
      <c r="T25" s="39">
        <f t="shared" si="10"/>
        <v>47192.982436493985</v>
      </c>
      <c r="U25" s="39">
        <f t="shared" si="10"/>
        <v>42603.579775203209</v>
      </c>
      <c r="V25" s="39">
        <f t="shared" si="10"/>
        <v>37430.07600559952</v>
      </c>
      <c r="W25" s="39">
        <f t="shared" si="10"/>
        <v>31692.035233512182</v>
      </c>
      <c r="X25" s="39">
        <f t="shared" si="10"/>
        <v>25405.775750723813</v>
      </c>
      <c r="Y25" s="39">
        <f t="shared" si="10"/>
        <v>18584.804605299239</v>
      </c>
      <c r="Z25" s="39">
        <f t="shared" si="10"/>
        <v>11240.193329483158</v>
      </c>
      <c r="AA25" s="39">
        <f t="shared" si="10"/>
        <v>3380.9027879845489</v>
      </c>
    </row>
    <row r="26" spans="2:27" ht="15" customHeight="1" x14ac:dyDescent="0.45">
      <c r="B26" s="61" t="s">
        <v>11</v>
      </c>
      <c r="C26" s="61"/>
      <c r="D26" s="4">
        <f>MAX(D21,D20-D24)</f>
        <v>9000</v>
      </c>
      <c r="E26" s="4">
        <f t="shared" ref="E26:AA26" si="11">MAX(E21,E20-E24)</f>
        <v>9000</v>
      </c>
      <c r="F26" s="4">
        <f t="shared" si="11"/>
        <v>9000</v>
      </c>
      <c r="G26" s="4">
        <f t="shared" si="11"/>
        <v>9000</v>
      </c>
      <c r="H26" s="4">
        <f t="shared" si="11"/>
        <v>9000</v>
      </c>
      <c r="I26" s="4">
        <f t="shared" si="11"/>
        <v>9000</v>
      </c>
      <c r="J26" s="4">
        <f t="shared" si="11"/>
        <v>9000</v>
      </c>
      <c r="K26" s="4">
        <f t="shared" si="11"/>
        <v>9000</v>
      </c>
      <c r="L26" s="4">
        <f t="shared" si="11"/>
        <v>9000</v>
      </c>
      <c r="M26" s="4">
        <f t="shared" si="11"/>
        <v>9000</v>
      </c>
      <c r="N26" s="4">
        <f t="shared" si="11"/>
        <v>9000</v>
      </c>
      <c r="O26" s="4">
        <f t="shared" si="11"/>
        <v>9000</v>
      </c>
      <c r="P26" s="4">
        <f t="shared" si="11"/>
        <v>9000</v>
      </c>
      <c r="Q26" s="4">
        <f t="shared" si="11"/>
        <v>9000</v>
      </c>
      <c r="R26" s="4">
        <f t="shared" si="11"/>
        <v>9000</v>
      </c>
      <c r="S26" s="4">
        <f t="shared" si="11"/>
        <v>9000</v>
      </c>
      <c r="T26" s="4">
        <f t="shared" si="11"/>
        <v>9000</v>
      </c>
      <c r="U26" s="4">
        <f t="shared" si="11"/>
        <v>9000</v>
      </c>
      <c r="V26" s="4">
        <f t="shared" si="11"/>
        <v>9000</v>
      </c>
      <c r="W26" s="4">
        <f t="shared" si="11"/>
        <v>9000</v>
      </c>
      <c r="X26" s="4">
        <f t="shared" si="11"/>
        <v>9000</v>
      </c>
      <c r="Y26" s="4">
        <f t="shared" si="11"/>
        <v>9000</v>
      </c>
      <c r="Z26" s="4">
        <f t="shared" si="11"/>
        <v>9000</v>
      </c>
      <c r="AA26" s="4">
        <f t="shared" si="11"/>
        <v>9000</v>
      </c>
    </row>
    <row r="28" spans="2:27" x14ac:dyDescent="0.45"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</row>
    <row r="29" spans="2:27" ht="14.65" thickBot="1" x14ac:dyDescent="0.5"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</row>
    <row r="30" spans="2:27" ht="14.65" thickBot="1" x14ac:dyDescent="0.5">
      <c r="B30" s="15" t="s">
        <v>79</v>
      </c>
      <c r="C30" s="13"/>
      <c r="D30" s="14">
        <f>D20-D21</f>
        <v>-491.86849655172409</v>
      </c>
      <c r="E30" s="14">
        <f t="shared" ref="E30:AA30" si="12">E20-E21</f>
        <v>-13387.843207888713</v>
      </c>
      <c r="F30" s="14">
        <f t="shared" si="12"/>
        <v>-11244.911294541631</v>
      </c>
      <c r="G30" s="14">
        <f t="shared" si="12"/>
        <v>-9341.4593624636909</v>
      </c>
      <c r="H30" s="14">
        <f t="shared" si="12"/>
        <v>-7644.5503484740002</v>
      </c>
      <c r="I30" s="14">
        <f t="shared" si="12"/>
        <v>-6125.7013407098457</v>
      </c>
      <c r="J30" s="14">
        <f t="shared" si="12"/>
        <v>-4760.2797561757143</v>
      </c>
      <c r="K30" s="14">
        <f t="shared" si="12"/>
        <v>-3526.9822510969061</v>
      </c>
      <c r="L30" s="14">
        <f t="shared" si="12"/>
        <v>-2407.384151310056</v>
      </c>
      <c r="M30" s="14">
        <f t="shared" si="12"/>
        <v>-1385.5498571935932</v>
      </c>
      <c r="N30" s="14">
        <f t="shared" si="12"/>
        <v>-447.69597156301097</v>
      </c>
      <c r="O30" s="14">
        <f t="shared" si="12"/>
        <v>368.09998436956448</v>
      </c>
      <c r="P30" s="14">
        <f>P20-P21</f>
        <v>1221.8806029859697</v>
      </c>
      <c r="Q30" s="14">
        <f t="shared" si="12"/>
        <v>1973.108237650762</v>
      </c>
      <c r="R30" s="14">
        <f t="shared" si="12"/>
        <v>2679.2327051801221</v>
      </c>
      <c r="S30" s="14">
        <f t="shared" si="12"/>
        <v>3346.9330600113935</v>
      </c>
      <c r="T30" s="14">
        <f t="shared" si="12"/>
        <v>3981.9890112771136</v>
      </c>
      <c r="U30" s="14">
        <f t="shared" si="12"/>
        <v>4589.4026612907801</v>
      </c>
      <c r="V30" s="14">
        <f t="shared" si="12"/>
        <v>5173.5037696036889</v>
      </c>
      <c r="W30" s="14">
        <f t="shared" si="12"/>
        <v>5738.0407720873372</v>
      </c>
      <c r="X30" s="14">
        <f t="shared" si="12"/>
        <v>6286.2594827883695</v>
      </c>
      <c r="Y30" s="14">
        <f t="shared" si="12"/>
        <v>6820.9711454245735</v>
      </c>
      <c r="Z30" s="14">
        <f t="shared" si="12"/>
        <v>7344.6112758160816</v>
      </c>
      <c r="AA30" s="14">
        <f t="shared" si="12"/>
        <v>7859.2905414986089</v>
      </c>
    </row>
  </sheetData>
  <mergeCells count="10">
    <mergeCell ref="B23:C23"/>
    <mergeCell ref="B24:C24"/>
    <mergeCell ref="B25:C25"/>
    <mergeCell ref="B26:C26"/>
    <mergeCell ref="B2:C3"/>
    <mergeCell ref="B4:C4"/>
    <mergeCell ref="B19:C19"/>
    <mergeCell ref="B20:C20"/>
    <mergeCell ref="B21:C21"/>
    <mergeCell ref="B22:C2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EED6F-DA2C-47B9-90C7-D2BBECD2ED42}">
  <dimension ref="B2:AA18"/>
  <sheetViews>
    <sheetView showGridLines="0" topLeftCell="S15" workbookViewId="0">
      <selection activeCell="X12" sqref="X12"/>
    </sheetView>
  </sheetViews>
  <sheetFormatPr defaultRowHeight="14.25" x14ac:dyDescent="0.45"/>
  <cols>
    <col min="2" max="2" width="6.33203125" customWidth="1"/>
    <col min="3" max="3" width="23.796875" customWidth="1"/>
    <col min="4" max="27" width="11.33203125" customWidth="1"/>
  </cols>
  <sheetData>
    <row r="2" spans="2:27" x14ac:dyDescent="0.45">
      <c r="B2" s="57" t="s">
        <v>60</v>
      </c>
      <c r="C2" s="57"/>
    </row>
    <row r="3" spans="2:27" x14ac:dyDescent="0.45">
      <c r="B3" s="57"/>
      <c r="C3" s="57"/>
    </row>
    <row r="4" spans="2:27" ht="14.65" thickBot="1" x14ac:dyDescent="0.5">
      <c r="B4" s="56" t="s">
        <v>30</v>
      </c>
      <c r="C4" s="56"/>
    </row>
    <row r="5" spans="2:27" x14ac:dyDescent="0.45"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</row>
    <row r="6" spans="2:27" ht="14.65" thickBot="1" x14ac:dyDescent="0.5">
      <c r="D6" s="10">
        <v>45039</v>
      </c>
      <c r="E6" s="10">
        <v>45069</v>
      </c>
      <c r="F6" s="10">
        <v>45100</v>
      </c>
      <c r="G6" s="10">
        <v>45130</v>
      </c>
      <c r="H6" s="10">
        <v>45161</v>
      </c>
      <c r="I6" s="10">
        <v>45192</v>
      </c>
      <c r="J6" s="10">
        <v>45222</v>
      </c>
      <c r="K6" s="10">
        <v>45253</v>
      </c>
      <c r="L6" s="10">
        <v>45283</v>
      </c>
      <c r="M6" s="10">
        <v>45314</v>
      </c>
      <c r="N6" s="10">
        <v>45345</v>
      </c>
      <c r="O6" s="10">
        <v>45374</v>
      </c>
      <c r="P6" s="10">
        <v>45405</v>
      </c>
      <c r="Q6" s="10">
        <v>45435</v>
      </c>
      <c r="R6" s="10">
        <v>45466</v>
      </c>
      <c r="S6" s="10">
        <v>45496</v>
      </c>
      <c r="T6" s="10">
        <v>45527</v>
      </c>
      <c r="U6" s="10">
        <v>45558</v>
      </c>
      <c r="V6" s="10">
        <v>45588</v>
      </c>
      <c r="W6" s="10">
        <v>45619</v>
      </c>
      <c r="X6" s="10">
        <v>45649</v>
      </c>
      <c r="Y6" s="10">
        <v>45680</v>
      </c>
      <c r="Z6" s="10">
        <v>45711</v>
      </c>
      <c r="AA6" s="10">
        <v>45739</v>
      </c>
    </row>
    <row r="7" spans="2:27" x14ac:dyDescent="0.45">
      <c r="B7" s="62" t="s">
        <v>18</v>
      </c>
      <c r="C7" s="62"/>
      <c r="D7" s="2">
        <f>'Sales Forecast '!D26</f>
        <v>483.62460689655222</v>
      </c>
      <c r="E7" s="2">
        <f>'Sales Forecast '!E26</f>
        <v>700.25651704231802</v>
      </c>
      <c r="F7" s="2">
        <f>'Sales Forecast '!F26</f>
        <v>921.75458849611209</v>
      </c>
      <c r="G7" s="2">
        <f>'Sales Forecast '!G26</f>
        <v>1148.1397486667329</v>
      </c>
      <c r="H7" s="2">
        <f>'Sales Forecast '!H26</f>
        <v>1378.9334377937755</v>
      </c>
      <c r="I7" s="2">
        <f>'Sales Forecast '!I26</f>
        <v>1613.7217527494499</v>
      </c>
      <c r="J7" s="2">
        <f>'Sales Forecast '!J26</f>
        <v>1852.1477533009322</v>
      </c>
      <c r="K7" s="2">
        <f>'Sales Forecast '!K26</f>
        <v>2093.9037606197194</v>
      </c>
      <c r="L7" s="2">
        <f>'Sales Forecast '!L26</f>
        <v>2338.7246958243986</v>
      </c>
      <c r="M7" s="2">
        <f>'Sales Forecast '!M26</f>
        <v>2586.3823200271595</v>
      </c>
      <c r="N7" s="2">
        <f>'Sales Forecast '!N26</f>
        <v>2836.6802538900674</v>
      </c>
      <c r="O7" s="2">
        <f>'Sales Forecast '!O26</f>
        <v>3089.449671201668</v>
      </c>
      <c r="P7" s="2">
        <f>'Sales Forecast '!P26</f>
        <v>3344.5455752601647</v>
      </c>
      <c r="Q7" s="2">
        <f>'Sales Forecast '!Q26</f>
        <v>3601.8435791931802</v>
      </c>
      <c r="R7" s="2">
        <f>'Sales Forecast '!R26</f>
        <v>3861.2371220174746</v>
      </c>
      <c r="S7" s="2">
        <f>'Sales Forecast '!S26</f>
        <v>4122.635061470879</v>
      </c>
      <c r="T7" s="2">
        <f>'Sales Forecast '!T26</f>
        <v>4385.9595926287238</v>
      </c>
      <c r="U7" s="2">
        <f>'Sales Forecast '!U26</f>
        <v>4651.1444482170791</v>
      </c>
      <c r="V7" s="2">
        <f>'Sales Forecast '!V26</f>
        <v>4918.1333425014936</v>
      </c>
      <c r="W7" s="2">
        <f>'Sales Forecast '!W26</f>
        <v>5186.8786257887159</v>
      </c>
      <c r="X7" s="2">
        <f>'Sales Forecast '!X26</f>
        <v>5457.340121039716</v>
      </c>
      <c r="Y7" s="2">
        <f>'Sales Forecast '!Y26</f>
        <v>5729.4841179493578</v>
      </c>
      <c r="Z7" s="2">
        <f>'Sales Forecast '!Z26</f>
        <v>6003.2825031832017</v>
      </c>
      <c r="AA7" s="2">
        <f>'Sales Forecast '!AA26</f>
        <v>6278.7120083457157</v>
      </c>
    </row>
    <row r="8" spans="2:27" ht="14.65" thickBot="1" x14ac:dyDescent="0.5">
      <c r="B8" s="1" t="s">
        <v>21</v>
      </c>
      <c r="C8" s="1"/>
      <c r="D8" s="12">
        <f>'Sales Forecast '!D27</f>
        <v>3089.6551724137935</v>
      </c>
      <c r="E8" s="12">
        <f>'Sales Forecast '!E27</f>
        <v>5783.8406620689675</v>
      </c>
      <c r="F8" s="12">
        <f>'Sales Forecast '!F27</f>
        <v>8129.6657514054641</v>
      </c>
      <c r="G8" s="12">
        <f>'Sales Forecast '!G27</f>
        <v>10174.34423150674</v>
      </c>
      <c r="H8" s="12">
        <f>'Sales Forecast '!H27</f>
        <v>11958.714697870657</v>
      </c>
      <c r="I8" s="12">
        <f>'Sales Forecast '!I27</f>
        <v>13518.089608297378</v>
      </c>
      <c r="J8" s="12">
        <f>'Sales Forecast '!J27</f>
        <v>14883.003097997173</v>
      </c>
      <c r="K8" s="12">
        <f>'Sales Forecast '!K27</f>
        <v>16079.857623219888</v>
      </c>
      <c r="L8" s="12">
        <f>'Sales Forecast '!L27</f>
        <v>17131.483095897078</v>
      </c>
      <c r="M8" s="12">
        <f>'Sales Forecast '!M27</f>
        <v>18057.620351661742</v>
      </c>
      <c r="N8" s="12">
        <f>'Sales Forecast '!N27</f>
        <v>18875.339191066614</v>
      </c>
      <c r="O8" s="12">
        <f>'Sales Forecast '!O27</f>
        <v>19599.399848086541</v>
      </c>
      <c r="P8" s="12">
        <f>'Sales Forecast '!P27</f>
        <v>20242.56554178369</v>
      </c>
      <c r="Q8" s="12">
        <f>'Sales Forecast '!Q27</f>
        <v>20815.872730958901</v>
      </c>
      <c r="R8" s="12">
        <f>'Sales Forecast '!R27</f>
        <v>21328.864795764151</v>
      </c>
      <c r="S8" s="12">
        <f>'Sales Forecast '!S27</f>
        <v>21789.79409563648</v>
      </c>
      <c r="T8" s="12">
        <f>'Sales Forecast '!T27</f>
        <v>22205.79668312606</v>
      </c>
      <c r="U8" s="12">
        <f>'Sales Forecast '!U27</f>
        <v>22583.043374044762</v>
      </c>
      <c r="V8" s="12">
        <f>'Sales Forecast '!V27</f>
        <v>22926.870373589671</v>
      </c>
      <c r="W8" s="12">
        <f>'Sales Forecast '!W27</f>
        <v>23241.892225092881</v>
      </c>
      <c r="X8" s="12">
        <f>'Sales Forecast '!X27</f>
        <v>23532.099473643342</v>
      </c>
      <c r="Y8" s="12">
        <f>'Sales Forecast '!Y27</f>
        <v>23800.9431130882</v>
      </c>
      <c r="Z8" s="12">
        <f>'Sales Forecast '!Z27</f>
        <v>24051.407604994023</v>
      </c>
      <c r="AA8" s="12">
        <f>'Sales Forecast '!AA27</f>
        <v>24286.074016103055</v>
      </c>
    </row>
    <row r="9" spans="2:27" x14ac:dyDescent="0.45">
      <c r="B9" s="61" t="s">
        <v>20</v>
      </c>
      <c r="C9" s="61"/>
      <c r="D9" s="6">
        <f>SUM(D7:D8)</f>
        <v>3573.2797793103455</v>
      </c>
      <c r="E9" s="6">
        <f t="shared" ref="E9:AA9" si="0">SUM(E7:E8)</f>
        <v>6484.0971791112852</v>
      </c>
      <c r="F9" s="6">
        <f t="shared" si="0"/>
        <v>9051.4203399015769</v>
      </c>
      <c r="G9" s="6">
        <f t="shared" si="0"/>
        <v>11322.483980173474</v>
      </c>
      <c r="H9" s="6">
        <f t="shared" si="0"/>
        <v>13337.648135664433</v>
      </c>
      <c r="I9" s="6">
        <f t="shared" si="0"/>
        <v>15131.811361046828</v>
      </c>
      <c r="J9" s="6">
        <f t="shared" si="0"/>
        <v>16735.150851298105</v>
      </c>
      <c r="K9" s="6">
        <f t="shared" si="0"/>
        <v>18173.761383839606</v>
      </c>
      <c r="L9" s="6">
        <f t="shared" si="0"/>
        <v>19470.207791721477</v>
      </c>
      <c r="M9" s="6">
        <f t="shared" si="0"/>
        <v>20644.002671688901</v>
      </c>
      <c r="N9" s="6">
        <f t="shared" si="0"/>
        <v>21712.019444956681</v>
      </c>
      <c r="O9" s="6">
        <f t="shared" si="0"/>
        <v>22688.849519288211</v>
      </c>
      <c r="P9" s="6">
        <f t="shared" si="0"/>
        <v>23587.111117043853</v>
      </c>
      <c r="Q9" s="6">
        <f t="shared" si="0"/>
        <v>24417.716310152082</v>
      </c>
      <c r="R9" s="6">
        <f t="shared" si="0"/>
        <v>25190.101917781627</v>
      </c>
      <c r="S9" s="6">
        <f t="shared" si="0"/>
        <v>25912.429157107359</v>
      </c>
      <c r="T9" s="6">
        <f t="shared" si="0"/>
        <v>26591.756275754786</v>
      </c>
      <c r="U9" s="6">
        <f t="shared" si="0"/>
        <v>27234.18782226184</v>
      </c>
      <c r="V9" s="6">
        <f t="shared" si="0"/>
        <v>27845.003716091163</v>
      </c>
      <c r="W9" s="6">
        <f t="shared" si="0"/>
        <v>28428.770850881596</v>
      </c>
      <c r="X9" s="6">
        <f t="shared" si="0"/>
        <v>28989.439594683059</v>
      </c>
      <c r="Y9" s="6">
        <f t="shared" si="0"/>
        <v>29530.42723103756</v>
      </c>
      <c r="Z9" s="6">
        <f t="shared" si="0"/>
        <v>30054.690108177223</v>
      </c>
      <c r="AA9" s="6">
        <f t="shared" si="0"/>
        <v>30564.786024448771</v>
      </c>
    </row>
    <row r="11" spans="2:27" x14ac:dyDescent="0.45">
      <c r="B11" s="63"/>
      <c r="C11" s="63"/>
    </row>
    <row r="18" spans="2:3" x14ac:dyDescent="0.45">
      <c r="B18" s="62"/>
      <c r="C18" s="62"/>
    </row>
  </sheetData>
  <mergeCells count="7">
    <mergeCell ref="B2:C3"/>
    <mergeCell ref="B4:C4"/>
    <mergeCell ref="B18:C18"/>
    <mergeCell ref="D5:AA5"/>
    <mergeCell ref="B7:C7"/>
    <mergeCell ref="B9:C9"/>
    <mergeCell ref="B11:C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87E8F-ED61-48FF-8F82-4A2D75FCA1CC}">
  <dimension ref="A2:AD16"/>
  <sheetViews>
    <sheetView showGridLines="0" topLeftCell="C1" workbookViewId="0">
      <selection activeCell="F23" sqref="F23"/>
    </sheetView>
  </sheetViews>
  <sheetFormatPr defaultRowHeight="14.25" x14ac:dyDescent="0.45"/>
  <cols>
    <col min="3" max="4" width="9.06640625" style="18"/>
    <col min="5" max="5" width="3.6640625" style="18" customWidth="1"/>
    <col min="6" max="6" width="24.6640625" style="18" customWidth="1"/>
    <col min="7" max="30" width="10.86328125" style="18" bestFit="1" customWidth="1"/>
    <col min="31" max="16384" width="9.06640625" style="18"/>
  </cols>
  <sheetData>
    <row r="2" spans="5:30" ht="14.25" customHeight="1" x14ac:dyDescent="0.45">
      <c r="E2" s="54" t="s">
        <v>61</v>
      </c>
      <c r="F2" s="54"/>
      <c r="G2" s="54"/>
    </row>
    <row r="3" spans="5:30" ht="14.25" customHeight="1" x14ac:dyDescent="0.45">
      <c r="E3" s="54"/>
      <c r="F3" s="54"/>
      <c r="G3" s="54"/>
    </row>
    <row r="4" spans="5:30" ht="14.65" thickBot="1" x14ac:dyDescent="0.5">
      <c r="E4" s="65" t="s">
        <v>30</v>
      </c>
      <c r="F4" s="65"/>
      <c r="G4" s="6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</row>
    <row r="5" spans="5:30" x14ac:dyDescent="0.45"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5:30" ht="14.65" thickBot="1" x14ac:dyDescent="0.5">
      <c r="G6" s="21">
        <v>45039</v>
      </c>
      <c r="H6" s="21">
        <v>45069</v>
      </c>
      <c r="I6" s="21">
        <v>45100</v>
      </c>
      <c r="J6" s="21">
        <v>45130</v>
      </c>
      <c r="K6" s="21">
        <v>45161</v>
      </c>
      <c r="L6" s="21">
        <v>45192</v>
      </c>
      <c r="M6" s="21">
        <v>45222</v>
      </c>
      <c r="N6" s="21">
        <v>45253</v>
      </c>
      <c r="O6" s="21">
        <v>45283</v>
      </c>
      <c r="P6" s="21">
        <v>45314</v>
      </c>
      <c r="Q6" s="21">
        <v>45345</v>
      </c>
      <c r="R6" s="21">
        <v>45374</v>
      </c>
    </row>
    <row r="7" spans="5:30" x14ac:dyDescent="0.45">
      <c r="E7" s="64" t="s">
        <v>23</v>
      </c>
      <c r="F7" s="64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5:30" x14ac:dyDescent="0.45">
      <c r="F8" s="18" t="s">
        <v>24</v>
      </c>
      <c r="G8" s="28">
        <v>8000</v>
      </c>
      <c r="H8" s="28">
        <v>8000</v>
      </c>
      <c r="I8" s="28">
        <v>8000</v>
      </c>
      <c r="J8" s="28">
        <v>8000</v>
      </c>
      <c r="K8" s="28">
        <v>8000</v>
      </c>
      <c r="L8" s="28">
        <v>8000</v>
      </c>
      <c r="M8" s="28">
        <v>8000</v>
      </c>
      <c r="N8" s="28">
        <v>8000</v>
      </c>
      <c r="O8" s="28">
        <v>8000</v>
      </c>
      <c r="P8" s="28">
        <v>8000</v>
      </c>
      <c r="Q8" s="28">
        <v>8000</v>
      </c>
      <c r="R8" s="28">
        <v>8000</v>
      </c>
    </row>
    <row r="9" spans="5:30" ht="14.65" thickBot="1" x14ac:dyDescent="0.5">
      <c r="E9" s="33"/>
      <c r="F9" s="33" t="s">
        <v>63</v>
      </c>
      <c r="G9" s="34">
        <f>Reciepts!D8*0.15</f>
        <v>463.44827586206901</v>
      </c>
      <c r="H9" s="34">
        <f>Reciepts!E8*0.15</f>
        <v>867.57609931034506</v>
      </c>
      <c r="I9" s="34">
        <f>Reciepts!F8*0.15</f>
        <v>1219.4498627108196</v>
      </c>
      <c r="J9" s="34">
        <f>Reciepts!G8*0.15</f>
        <v>1526.151634726011</v>
      </c>
      <c r="K9" s="34">
        <f>Reciepts!H8*0.15</f>
        <v>1793.8072046805985</v>
      </c>
      <c r="L9" s="34">
        <f>Reciepts!I8*0.15</f>
        <v>2027.7134412446067</v>
      </c>
      <c r="M9" s="34">
        <f>Reciepts!J8*0.15</f>
        <v>2232.4504646995756</v>
      </c>
      <c r="N9" s="34">
        <f>Reciepts!K8*0.15</f>
        <v>2411.978643482983</v>
      </c>
      <c r="O9" s="34">
        <f>Reciepts!L8*0.15</f>
        <v>2569.7224643845616</v>
      </c>
      <c r="P9" s="34">
        <f>Reciepts!M8*0.15</f>
        <v>2708.6430527492612</v>
      </c>
      <c r="Q9" s="34">
        <f>Reciepts!N8*0.15</f>
        <v>2831.3008786599921</v>
      </c>
      <c r="R9" s="34">
        <f>Reciepts!O8*0.15</f>
        <v>2939.9099772129812</v>
      </c>
    </row>
    <row r="10" spans="5:30" x14ac:dyDescent="0.45">
      <c r="E10" s="61" t="s">
        <v>25</v>
      </c>
      <c r="F10" s="61"/>
      <c r="G10" s="6">
        <f>SUM(G8:G9)</f>
        <v>8463.4482758620688</v>
      </c>
      <c r="H10" s="6">
        <f t="shared" ref="H10:R10" si="0">SUM(H8:H9)</f>
        <v>8867.5760993103449</v>
      </c>
      <c r="I10" s="6">
        <f t="shared" si="0"/>
        <v>9219.4498627108187</v>
      </c>
      <c r="J10" s="6">
        <f t="shared" si="0"/>
        <v>9526.1516347260113</v>
      </c>
      <c r="K10" s="6">
        <f t="shared" si="0"/>
        <v>9793.8072046805992</v>
      </c>
      <c r="L10" s="6">
        <f t="shared" si="0"/>
        <v>10027.713441244607</v>
      </c>
      <c r="M10" s="6">
        <f t="shared" si="0"/>
        <v>10232.450464699576</v>
      </c>
      <c r="N10" s="6">
        <f t="shared" si="0"/>
        <v>10411.978643482984</v>
      </c>
      <c r="O10" s="6">
        <f t="shared" si="0"/>
        <v>10569.722464384562</v>
      </c>
      <c r="P10" s="6">
        <f t="shared" si="0"/>
        <v>10708.643052749261</v>
      </c>
      <c r="Q10" s="6">
        <f t="shared" si="0"/>
        <v>10831.300878659993</v>
      </c>
      <c r="R10" s="6">
        <f t="shared" si="0"/>
        <v>10939.909977212981</v>
      </c>
    </row>
    <row r="12" spans="5:30" ht="14.65" thickBot="1" x14ac:dyDescent="0.5">
      <c r="G12" s="21">
        <v>45405</v>
      </c>
      <c r="H12" s="21">
        <v>45435</v>
      </c>
      <c r="I12" s="21">
        <v>45466</v>
      </c>
      <c r="J12" s="21">
        <v>45496</v>
      </c>
      <c r="K12" s="21">
        <v>45527</v>
      </c>
      <c r="L12" s="21">
        <v>45558</v>
      </c>
      <c r="M12" s="21">
        <v>45588</v>
      </c>
      <c r="N12" s="21">
        <v>45619</v>
      </c>
      <c r="O12" s="21">
        <v>45649</v>
      </c>
      <c r="P12" s="21">
        <v>45680</v>
      </c>
      <c r="Q12" s="21">
        <v>45711</v>
      </c>
      <c r="R12" s="21">
        <v>45739</v>
      </c>
    </row>
    <row r="13" spans="5:30" x14ac:dyDescent="0.45">
      <c r="E13" s="64" t="s">
        <v>23</v>
      </c>
      <c r="F13" s="64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</row>
    <row r="14" spans="5:30" x14ac:dyDescent="0.45">
      <c r="F14" s="18" t="s">
        <v>24</v>
      </c>
      <c r="G14" s="28">
        <v>8000</v>
      </c>
      <c r="H14" s="28">
        <v>8000</v>
      </c>
      <c r="I14" s="28">
        <v>8000</v>
      </c>
      <c r="J14" s="28">
        <v>8000</v>
      </c>
      <c r="K14" s="28">
        <v>8000</v>
      </c>
      <c r="L14" s="28">
        <v>8000</v>
      </c>
      <c r="M14" s="28">
        <v>8000</v>
      </c>
      <c r="N14" s="28">
        <v>8000</v>
      </c>
      <c r="O14" s="28">
        <v>8000</v>
      </c>
      <c r="P14" s="28">
        <v>8000</v>
      </c>
      <c r="Q14" s="28">
        <v>8000</v>
      </c>
      <c r="R14" s="28">
        <v>8000</v>
      </c>
    </row>
    <row r="15" spans="5:30" ht="14.65" thickBot="1" x14ac:dyDescent="0.5">
      <c r="E15" s="33"/>
      <c r="F15" s="33" t="s">
        <v>63</v>
      </c>
      <c r="G15" s="34">
        <f>Reciepts!P8*0.15</f>
        <v>3036.3848312675532</v>
      </c>
      <c r="H15" s="34">
        <f>Reciepts!Q8*0.15</f>
        <v>3122.3809096438349</v>
      </c>
      <c r="I15" s="34">
        <f>Reciepts!R8*0.15</f>
        <v>3199.3297193646226</v>
      </c>
      <c r="J15" s="34">
        <f>Reciepts!S8*0.15</f>
        <v>3268.469114345472</v>
      </c>
      <c r="K15" s="34">
        <f>Reciepts!T8*0.15</f>
        <v>3330.8695024689091</v>
      </c>
      <c r="L15" s="34">
        <f>Reciepts!U8*0.15</f>
        <v>3387.4565061067142</v>
      </c>
      <c r="M15" s="34">
        <f>Reciepts!V8*0.15</f>
        <v>3439.0305560384504</v>
      </c>
      <c r="N15" s="34">
        <f>Reciepts!W8*0.15</f>
        <v>3486.2838337639319</v>
      </c>
      <c r="O15" s="34">
        <f>Reciepts!X8*0.15</f>
        <v>3529.8149210465012</v>
      </c>
      <c r="P15" s="34">
        <f>Reciepts!Y8*0.15</f>
        <v>3570.14146696323</v>
      </c>
      <c r="Q15" s="34">
        <f>Reciepts!Z8*0.15</f>
        <v>3607.7111407491034</v>
      </c>
      <c r="R15" s="34">
        <f>Reciepts!AA8*0.15</f>
        <v>3642.9111024154581</v>
      </c>
    </row>
    <row r="16" spans="5:30" x14ac:dyDescent="0.45">
      <c r="E16" s="61" t="s">
        <v>25</v>
      </c>
      <c r="F16" s="61"/>
      <c r="G16" s="6">
        <f t="shared" ref="G16:R16" si="1">SUM(G14:G15)</f>
        <v>11036.384831267553</v>
      </c>
      <c r="H16" s="6">
        <f t="shared" si="1"/>
        <v>11122.380909643834</v>
      </c>
      <c r="I16" s="6">
        <f t="shared" si="1"/>
        <v>11199.329719364623</v>
      </c>
      <c r="J16" s="6">
        <f t="shared" si="1"/>
        <v>11268.469114345473</v>
      </c>
      <c r="K16" s="6">
        <f t="shared" si="1"/>
        <v>11330.86950246891</v>
      </c>
      <c r="L16" s="6">
        <f t="shared" si="1"/>
        <v>11387.456506106715</v>
      </c>
      <c r="M16" s="6">
        <f t="shared" si="1"/>
        <v>11439.030556038451</v>
      </c>
      <c r="N16" s="6">
        <f t="shared" si="1"/>
        <v>11486.283833763931</v>
      </c>
      <c r="O16" s="6">
        <f t="shared" si="1"/>
        <v>11529.814921046502</v>
      </c>
      <c r="P16" s="6">
        <f t="shared" si="1"/>
        <v>11570.14146696323</v>
      </c>
      <c r="Q16" s="6">
        <f t="shared" si="1"/>
        <v>11607.711140749103</v>
      </c>
      <c r="R16" s="6">
        <f t="shared" si="1"/>
        <v>11642.911102415459</v>
      </c>
    </row>
  </sheetData>
  <mergeCells count="7">
    <mergeCell ref="E16:F16"/>
    <mergeCell ref="E13:F13"/>
    <mergeCell ref="E2:G3"/>
    <mergeCell ref="E4:G4"/>
    <mergeCell ref="G5:AD5"/>
    <mergeCell ref="E7:F7"/>
    <mergeCell ref="E10:F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D628-D700-4E43-9695-948D6C636BA2}">
  <dimension ref="B2:P78"/>
  <sheetViews>
    <sheetView showGridLines="0" topLeftCell="A12" workbookViewId="0">
      <selection activeCell="J25" sqref="J25"/>
    </sheetView>
  </sheetViews>
  <sheetFormatPr defaultRowHeight="14.25" x14ac:dyDescent="0.45"/>
  <cols>
    <col min="1" max="1" width="9.06640625" style="18"/>
    <col min="2" max="2" width="6.06640625" style="18" customWidth="1"/>
    <col min="3" max="6" width="9.06640625" style="18"/>
    <col min="7" max="7" width="3.265625" style="18" customWidth="1"/>
    <col min="8" max="11" width="12.46484375" style="18" customWidth="1"/>
    <col min="12" max="12" width="3.06640625" style="18" customWidth="1"/>
    <col min="13" max="16" width="12.46484375" style="18" customWidth="1"/>
    <col min="17" max="23" width="9.06640625" style="18"/>
    <col min="24" max="24" width="10.86328125" style="18" bestFit="1" customWidth="1"/>
    <col min="25" max="16384" width="9.06640625" style="18"/>
  </cols>
  <sheetData>
    <row r="2" spans="2:16" x14ac:dyDescent="0.45">
      <c r="B2" s="54" t="s">
        <v>80</v>
      </c>
      <c r="C2" s="54"/>
      <c r="D2" s="54"/>
      <c r="E2" s="54"/>
      <c r="F2" s="54"/>
    </row>
    <row r="3" spans="2:16" x14ac:dyDescent="0.45">
      <c r="B3" s="54"/>
      <c r="C3" s="54"/>
      <c r="D3" s="54"/>
      <c r="E3" s="54"/>
      <c r="F3" s="54"/>
    </row>
    <row r="4" spans="2:16" ht="14.65" thickBot="1" x14ac:dyDescent="0.5">
      <c r="B4" s="52" t="s">
        <v>30</v>
      </c>
      <c r="C4" s="33"/>
      <c r="D4" s="33"/>
      <c r="E4" s="33"/>
      <c r="F4" s="33"/>
      <c r="G4" s="33"/>
      <c r="H4" s="33"/>
      <c r="I4" s="66"/>
      <c r="J4" s="66"/>
      <c r="K4" s="66"/>
      <c r="L4" s="66"/>
      <c r="M4" s="66"/>
      <c r="N4" s="66"/>
      <c r="O4" s="66"/>
      <c r="P4" s="66"/>
    </row>
    <row r="5" spans="2:16" x14ac:dyDescent="0.45">
      <c r="H5" s="30"/>
      <c r="I5" s="30"/>
      <c r="J5" s="30"/>
      <c r="K5" s="30"/>
      <c r="M5" s="30"/>
      <c r="N5" s="30"/>
      <c r="O5" s="30"/>
      <c r="P5" s="30"/>
    </row>
    <row r="6" spans="2:16" x14ac:dyDescent="0.45">
      <c r="B6" s="22" t="s">
        <v>45</v>
      </c>
    </row>
    <row r="7" spans="2:16" x14ac:dyDescent="0.45">
      <c r="B7" s="18" t="s">
        <v>31</v>
      </c>
      <c r="H7" s="44">
        <f>1-H14</f>
        <v>0.77600000000000002</v>
      </c>
      <c r="I7" s="44"/>
      <c r="J7" s="44"/>
      <c r="K7" s="44"/>
      <c r="L7" s="44"/>
      <c r="M7" s="44"/>
      <c r="N7" s="44"/>
      <c r="O7" s="44"/>
      <c r="P7" s="44"/>
    </row>
    <row r="8" spans="2:16" x14ac:dyDescent="0.45">
      <c r="B8" s="18" t="s">
        <v>36</v>
      </c>
      <c r="H8" s="44">
        <v>0.96399999999999997</v>
      </c>
      <c r="I8" s="44"/>
      <c r="J8" s="44"/>
      <c r="K8" s="44"/>
      <c r="L8" s="44"/>
      <c r="M8" s="44"/>
      <c r="N8" s="44"/>
      <c r="O8" s="44"/>
      <c r="P8" s="44"/>
    </row>
    <row r="9" spans="2:16" x14ac:dyDescent="0.45">
      <c r="B9" s="18" t="s">
        <v>32</v>
      </c>
      <c r="H9" s="45">
        <v>1.04</v>
      </c>
      <c r="I9" s="45"/>
      <c r="J9" s="45"/>
      <c r="K9" s="45"/>
      <c r="L9" s="45"/>
      <c r="M9" s="45"/>
      <c r="N9" s="45"/>
      <c r="O9" s="45"/>
      <c r="P9" s="45"/>
    </row>
    <row r="10" spans="2:16" x14ac:dyDescent="0.45">
      <c r="B10" s="18" t="s">
        <v>38</v>
      </c>
      <c r="H10" s="46">
        <f>4*4</f>
        <v>16</v>
      </c>
      <c r="I10" s="46"/>
      <c r="J10" s="46"/>
      <c r="K10" s="46"/>
      <c r="L10" s="46"/>
      <c r="M10" s="46"/>
      <c r="N10" s="46"/>
      <c r="O10" s="46"/>
      <c r="P10" s="46"/>
    </row>
    <row r="11" spans="2:16" x14ac:dyDescent="0.45">
      <c r="B11" s="18" t="s">
        <v>39</v>
      </c>
      <c r="H11" s="47">
        <v>0.16</v>
      </c>
      <c r="I11" s="47"/>
      <c r="J11" s="47"/>
      <c r="K11" s="47"/>
      <c r="L11" s="47"/>
      <c r="M11" s="47"/>
      <c r="N11" s="47"/>
      <c r="O11" s="47"/>
      <c r="P11" s="47"/>
    </row>
    <row r="12" spans="2:16" x14ac:dyDescent="0.45">
      <c r="B12" s="18" t="s">
        <v>41</v>
      </c>
      <c r="H12" s="28">
        <f>H9*H10*H11</f>
        <v>2.6624000000000003</v>
      </c>
      <c r="I12" s="28"/>
      <c r="J12" s="28"/>
      <c r="K12" s="28"/>
      <c r="L12" s="28"/>
      <c r="M12" s="28"/>
      <c r="N12" s="28"/>
      <c r="O12" s="28"/>
      <c r="P12" s="28"/>
    </row>
    <row r="13" spans="2:16" x14ac:dyDescent="0.45">
      <c r="B13" s="22" t="s">
        <v>46</v>
      </c>
    </row>
    <row r="14" spans="2:16" x14ac:dyDescent="0.45">
      <c r="B14" s="18" t="s">
        <v>33</v>
      </c>
      <c r="H14" s="44">
        <v>0.224</v>
      </c>
      <c r="I14" s="44"/>
      <c r="J14" s="44"/>
      <c r="K14" s="44"/>
      <c r="L14" s="44"/>
      <c r="M14" s="44"/>
      <c r="N14" s="44"/>
      <c r="O14" s="44"/>
      <c r="P14" s="44"/>
    </row>
    <row r="15" spans="2:16" x14ac:dyDescent="0.45">
      <c r="B15" s="18" t="s">
        <v>37</v>
      </c>
      <c r="H15" s="44">
        <v>0.89</v>
      </c>
      <c r="I15" s="44"/>
      <c r="J15" s="44"/>
      <c r="K15" s="44"/>
      <c r="L15" s="44"/>
      <c r="M15" s="44"/>
      <c r="N15" s="44"/>
      <c r="O15" s="44"/>
      <c r="P15" s="44"/>
    </row>
    <row r="16" spans="2:16" x14ac:dyDescent="0.45">
      <c r="B16" s="18" t="s">
        <v>34</v>
      </c>
      <c r="H16" s="48">
        <f>(1/H15)*12</f>
        <v>13.483146067415731</v>
      </c>
      <c r="I16" s="48"/>
      <c r="J16" s="48"/>
      <c r="K16" s="48"/>
      <c r="L16" s="48"/>
      <c r="M16" s="48"/>
      <c r="N16" s="48"/>
      <c r="O16" s="48"/>
      <c r="P16" s="48"/>
    </row>
    <row r="17" spans="2:16" x14ac:dyDescent="0.45">
      <c r="B17" s="18" t="s">
        <v>40</v>
      </c>
      <c r="H17" s="47">
        <v>5</v>
      </c>
      <c r="I17" s="47"/>
      <c r="J17" s="47"/>
      <c r="K17" s="47"/>
      <c r="L17" s="47"/>
      <c r="M17" s="47"/>
      <c r="N17" s="47"/>
      <c r="O17" s="47"/>
      <c r="P17" s="47"/>
    </row>
    <row r="18" spans="2:16" ht="14.65" thickBot="1" x14ac:dyDescent="0.5">
      <c r="B18" s="18" t="s">
        <v>42</v>
      </c>
      <c r="H18" s="28">
        <f>H17*H16</f>
        <v>67.415730337078656</v>
      </c>
    </row>
    <row r="19" spans="2:16" ht="14.65" thickBot="1" x14ac:dyDescent="0.5">
      <c r="B19" s="7" t="s">
        <v>35</v>
      </c>
      <c r="C19" s="8"/>
      <c r="D19" s="8"/>
      <c r="E19" s="8"/>
      <c r="F19" s="8"/>
      <c r="G19" s="8"/>
      <c r="H19" s="9">
        <f>H7*H12+H14*H18</f>
        <v>17.167145995505621</v>
      </c>
    </row>
    <row r="20" spans="2:16" ht="14.65" thickBot="1" x14ac:dyDescent="0.5"/>
    <row r="21" spans="2:16" ht="14.65" thickBot="1" x14ac:dyDescent="0.5">
      <c r="B21" s="7" t="s">
        <v>20</v>
      </c>
      <c r="C21" s="8"/>
      <c r="D21" s="8"/>
      <c r="E21" s="8"/>
      <c r="F21" s="8"/>
      <c r="G21" s="8"/>
      <c r="H21" s="9">
        <v>506671.15256342181</v>
      </c>
    </row>
    <row r="22" spans="2:16" x14ac:dyDescent="0.45">
      <c r="H22" s="28"/>
    </row>
    <row r="23" spans="2:16" x14ac:dyDescent="0.45">
      <c r="B23" s="18" t="s">
        <v>67</v>
      </c>
      <c r="H23" s="28">
        <v>256212.93560389761</v>
      </c>
    </row>
    <row r="24" spans="2:16" x14ac:dyDescent="0.5">
      <c r="B24" s="33" t="s">
        <v>66</v>
      </c>
      <c r="C24" s="33"/>
      <c r="D24" s="33"/>
      <c r="E24" s="33"/>
      <c r="F24" s="33"/>
      <c r="G24" s="33"/>
      <c r="H24" s="34">
        <v>274839.11974750872</v>
      </c>
    </row>
    <row r="25" spans="2:16" ht="14.65" thickBot="1" x14ac:dyDescent="0.5">
      <c r="B25" s="15" t="s">
        <v>68</v>
      </c>
      <c r="C25" s="13"/>
      <c r="D25" s="13"/>
      <c r="E25" s="13"/>
      <c r="F25" s="13"/>
      <c r="G25" s="13"/>
      <c r="H25" s="14">
        <v>531417.48012642073</v>
      </c>
    </row>
    <row r="26" spans="2:16" ht="14.65" thickBot="1" x14ac:dyDescent="0.5">
      <c r="B26" s="42"/>
      <c r="C26" s="42"/>
      <c r="D26" s="42"/>
      <c r="E26" s="42"/>
      <c r="F26" s="42"/>
      <c r="G26" s="42"/>
      <c r="H26" s="42"/>
    </row>
    <row r="27" spans="2:16" ht="14.65" thickBot="1" x14ac:dyDescent="0.5">
      <c r="B27" s="15" t="s">
        <v>77</v>
      </c>
      <c r="C27" s="13"/>
      <c r="D27" s="13"/>
      <c r="E27" s="13"/>
      <c r="F27" s="13"/>
      <c r="G27" s="13"/>
      <c r="H27" s="16">
        <f>H21-H25</f>
        <v>-24746.327562998922</v>
      </c>
    </row>
    <row r="29" spans="2:16" x14ac:dyDescent="0.45">
      <c r="B29" s="18" t="s">
        <v>73</v>
      </c>
      <c r="H29" s="50">
        <f>SUM('Sales Forecast '!D12:AA12)</f>
        <v>63829.118867164412</v>
      </c>
    </row>
    <row r="30" spans="2:16" ht="14.65" thickBot="1" x14ac:dyDescent="0.5">
      <c r="B30" s="33" t="s">
        <v>72</v>
      </c>
      <c r="C30" s="33"/>
      <c r="D30" s="33"/>
      <c r="E30" s="33"/>
      <c r="F30" s="33"/>
      <c r="G30" s="33"/>
      <c r="H30" s="51">
        <f>SUM('Sales Forecast '!D11:AA11)</f>
        <v>18424.900291552611</v>
      </c>
    </row>
    <row r="31" spans="2:16" ht="14.65" thickBot="1" x14ac:dyDescent="0.5">
      <c r="B31" s="15" t="s">
        <v>62</v>
      </c>
      <c r="C31" s="13"/>
      <c r="D31" s="13"/>
      <c r="E31" s="13"/>
      <c r="F31" s="13"/>
      <c r="G31" s="13"/>
      <c r="H31" s="17">
        <f>SUM(H29:H30)</f>
        <v>82254.019158717027</v>
      </c>
    </row>
    <row r="33" spans="2:8" x14ac:dyDescent="0.45">
      <c r="B33" s="18" t="s">
        <v>74</v>
      </c>
      <c r="H33" s="50">
        <f>'Sales Forecast '!AA21</f>
        <v>2354.1295879605127</v>
      </c>
    </row>
    <row r="34" spans="2:8" ht="14.65" thickBot="1" x14ac:dyDescent="0.5">
      <c r="B34" s="33" t="s">
        <v>76</v>
      </c>
      <c r="C34" s="33"/>
      <c r="D34" s="33"/>
      <c r="E34" s="33"/>
      <c r="F34" s="33"/>
      <c r="G34" s="33"/>
      <c r="H34" s="51">
        <f>'Sales Forecast '!AA22</f>
        <v>4857.2148032206114</v>
      </c>
    </row>
    <row r="35" spans="2:8" ht="14.65" thickBot="1" x14ac:dyDescent="0.5">
      <c r="B35" s="15" t="s">
        <v>75</v>
      </c>
      <c r="C35" s="13"/>
      <c r="D35" s="13"/>
      <c r="E35" s="13"/>
      <c r="F35" s="13"/>
      <c r="G35" s="13"/>
      <c r="H35" s="17">
        <f>SUM(H33:H34)</f>
        <v>7211.3443911811246</v>
      </c>
    </row>
    <row r="42" spans="2:8" x14ac:dyDescent="0.45">
      <c r="H42" s="28"/>
    </row>
    <row r="44" spans="2:8" ht="17.25" customHeight="1" x14ac:dyDescent="0.45"/>
    <row r="48" spans="2:8" ht="23.25" x14ac:dyDescent="0.7">
      <c r="B48" s="19" t="s">
        <v>69</v>
      </c>
      <c r="C48" s="19"/>
      <c r="D48" s="19"/>
      <c r="E48" s="19"/>
      <c r="F48" s="19"/>
    </row>
    <row r="49" spans="2:8" ht="14.25" customHeight="1" x14ac:dyDescent="0.7">
      <c r="B49" s="19"/>
      <c r="C49" s="19"/>
      <c r="D49" s="19"/>
      <c r="E49" s="19"/>
      <c r="F49" s="19"/>
    </row>
    <row r="50" spans="2:8" ht="14.25" customHeight="1" thickBot="1" x14ac:dyDescent="0.5">
      <c r="B50" s="52" t="s">
        <v>30</v>
      </c>
      <c r="C50" s="33"/>
      <c r="D50" s="33"/>
      <c r="E50" s="33"/>
      <c r="F50" s="33"/>
      <c r="G50" s="33"/>
      <c r="H50" s="33"/>
    </row>
    <row r="52" spans="2:8" ht="14.65" hidden="1" thickBot="1" x14ac:dyDescent="0.5">
      <c r="B52" s="73" t="s">
        <v>20</v>
      </c>
      <c r="C52" s="42"/>
      <c r="D52" s="42"/>
      <c r="E52" s="42"/>
      <c r="F52" s="42"/>
      <c r="G52" s="42"/>
      <c r="H52" s="74" t="e">
        <f>SUM(#REF!)</f>
        <v>#REF!</v>
      </c>
    </row>
    <row r="53" spans="2:8" hidden="1" x14ac:dyDescent="0.45">
      <c r="H53" s="28"/>
    </row>
    <row r="54" spans="2:8" hidden="1" x14ac:dyDescent="0.45">
      <c r="B54" s="18" t="s">
        <v>67</v>
      </c>
      <c r="H54" s="28" t="e">
        <f>SUM(#REF!)</f>
        <v>#REF!</v>
      </c>
    </row>
    <row r="55" spans="2:8" ht="14.65" hidden="1" thickBot="1" x14ac:dyDescent="0.5">
      <c r="B55" s="33" t="s">
        <v>66</v>
      </c>
      <c r="C55" s="33"/>
      <c r="D55" s="33"/>
      <c r="E55" s="33"/>
      <c r="F55" s="33"/>
      <c r="G55" s="33"/>
      <c r="H55" s="34" t="e">
        <f>SUM(#REF!)-SUM(#REF!)</f>
        <v>#REF!</v>
      </c>
    </row>
    <row r="56" spans="2:8" ht="14.65" hidden="1" thickBot="1" x14ac:dyDescent="0.5">
      <c r="B56" s="32" t="s">
        <v>68</v>
      </c>
      <c r="C56" s="33"/>
      <c r="D56" s="33"/>
      <c r="E56" s="33"/>
      <c r="F56" s="33"/>
      <c r="G56" s="33"/>
      <c r="H56" s="34" t="e">
        <f>SUM(#REF!)</f>
        <v>#REF!</v>
      </c>
    </row>
    <row r="57" spans="2:8" hidden="1" x14ac:dyDescent="0.45">
      <c r="B57" s="43"/>
      <c r="C57" s="43"/>
      <c r="D57" s="43"/>
      <c r="E57" s="43"/>
      <c r="F57" s="43"/>
      <c r="G57" s="43"/>
      <c r="H57" s="43"/>
    </row>
    <row r="58" spans="2:8" x14ac:dyDescent="0.45">
      <c r="B58" s="22" t="s">
        <v>45</v>
      </c>
    </row>
    <row r="59" spans="2:8" x14ac:dyDescent="0.45">
      <c r="B59" s="18" t="s">
        <v>31</v>
      </c>
      <c r="H59" s="44">
        <f>1-H66</f>
        <v>0.77600000000000002</v>
      </c>
    </row>
    <row r="60" spans="2:8" x14ac:dyDescent="0.45">
      <c r="B60" s="18" t="s">
        <v>36</v>
      </c>
      <c r="H60" s="44">
        <v>0.96399999999999997</v>
      </c>
    </row>
    <row r="61" spans="2:8" x14ac:dyDescent="0.45">
      <c r="B61" s="18" t="s">
        <v>32</v>
      </c>
      <c r="H61" s="45">
        <v>1.04</v>
      </c>
    </row>
    <row r="62" spans="2:8" x14ac:dyDescent="0.45">
      <c r="B62" s="18" t="s">
        <v>38</v>
      </c>
      <c r="H62" s="46">
        <f>4*4</f>
        <v>16</v>
      </c>
    </row>
    <row r="63" spans="2:8" x14ac:dyDescent="0.45">
      <c r="B63" s="18" t="s">
        <v>39</v>
      </c>
      <c r="H63" s="47">
        <v>0.16</v>
      </c>
    </row>
    <row r="64" spans="2:8" x14ac:dyDescent="0.45">
      <c r="B64" s="18" t="s">
        <v>41</v>
      </c>
      <c r="H64" s="28">
        <f>H61*H62*H63</f>
        <v>2.6624000000000003</v>
      </c>
    </row>
    <row r="65" spans="2:8" x14ac:dyDescent="0.45">
      <c r="B65" s="22" t="s">
        <v>46</v>
      </c>
    </row>
    <row r="66" spans="2:8" x14ac:dyDescent="0.45">
      <c r="B66" s="18" t="s">
        <v>33</v>
      </c>
      <c r="H66" s="44">
        <v>0.224</v>
      </c>
    </row>
    <row r="67" spans="2:8" x14ac:dyDescent="0.45">
      <c r="B67" s="18" t="s">
        <v>37</v>
      </c>
      <c r="H67" s="44">
        <v>0.89</v>
      </c>
    </row>
    <row r="68" spans="2:8" x14ac:dyDescent="0.45">
      <c r="B68" s="18" t="s">
        <v>34</v>
      </c>
      <c r="H68" s="48">
        <f>(1/H67)*12</f>
        <v>13.483146067415731</v>
      </c>
    </row>
    <row r="69" spans="2:8" x14ac:dyDescent="0.45">
      <c r="B69" s="18" t="s">
        <v>40</v>
      </c>
      <c r="H69" s="47">
        <v>5</v>
      </c>
    </row>
    <row r="70" spans="2:8" ht="14.65" thickBot="1" x14ac:dyDescent="0.5">
      <c r="B70" s="18" t="s">
        <v>42</v>
      </c>
      <c r="H70" s="28">
        <f>H69*H68</f>
        <v>67.415730337078656</v>
      </c>
    </row>
    <row r="71" spans="2:8" ht="14.65" thickBot="1" x14ac:dyDescent="0.5">
      <c r="B71" s="73" t="s">
        <v>35</v>
      </c>
      <c r="C71" s="42"/>
      <c r="D71" s="42"/>
      <c r="E71" s="42"/>
      <c r="F71" s="42"/>
      <c r="G71" s="42"/>
      <c r="H71" s="74">
        <f>H59*H64+H66*H70</f>
        <v>17.167145995505621</v>
      </c>
    </row>
    <row r="72" spans="2:8" x14ac:dyDescent="0.45">
      <c r="C72" s="28"/>
    </row>
    <row r="73" spans="2:8" x14ac:dyDescent="0.45">
      <c r="B73" s="18" t="s">
        <v>49</v>
      </c>
      <c r="H73" s="28">
        <f>2.9</f>
        <v>2.9</v>
      </c>
    </row>
    <row r="74" spans="2:8" x14ac:dyDescent="0.45">
      <c r="B74" s="18" t="s">
        <v>70</v>
      </c>
      <c r="H74" s="28">
        <f>H70*H66*0.15</f>
        <v>2.2651685393258427</v>
      </c>
    </row>
    <row r="75" spans="2:8" x14ac:dyDescent="0.45">
      <c r="B75" s="18" t="s">
        <v>71</v>
      </c>
      <c r="H75" s="28">
        <f>H71-H73-H74</f>
        <v>12.001977456179777</v>
      </c>
    </row>
    <row r="76" spans="2:8" ht="14.65" thickBot="1" x14ac:dyDescent="0.5">
      <c r="B76" s="18" t="s">
        <v>50</v>
      </c>
      <c r="H76" s="49">
        <f>H75/H71</f>
        <v>0.69912479682539597</v>
      </c>
    </row>
    <row r="77" spans="2:8" ht="14.65" thickBot="1" x14ac:dyDescent="0.5">
      <c r="B77" s="73" t="s">
        <v>51</v>
      </c>
      <c r="C77" s="42"/>
      <c r="D77" s="42"/>
      <c r="E77" s="42"/>
      <c r="F77" s="42"/>
      <c r="G77" s="42"/>
      <c r="H77" s="75" t="e">
        <f>H55/H75</f>
        <v>#REF!</v>
      </c>
    </row>
    <row r="78" spans="2:8" ht="14.65" thickBot="1" x14ac:dyDescent="0.5">
      <c r="B78" s="32" t="s">
        <v>53</v>
      </c>
      <c r="C78" s="33"/>
      <c r="D78" s="33"/>
      <c r="E78" s="33"/>
      <c r="F78" s="33"/>
      <c r="G78" s="33"/>
      <c r="H78" s="34" t="e">
        <f>H55/H76</f>
        <v>#REF!</v>
      </c>
    </row>
  </sheetData>
  <mergeCells count="1">
    <mergeCell ref="B2:F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2C5B-C90C-453B-887D-861805F4EA39}">
  <dimension ref="B3:H5"/>
  <sheetViews>
    <sheetView showGridLines="0" tabSelected="1" zoomScale="115" zoomScaleNormal="115" workbookViewId="0">
      <selection activeCell="I50" sqref="I50"/>
    </sheetView>
  </sheetViews>
  <sheetFormatPr defaultRowHeight="14.25" x14ac:dyDescent="0.45"/>
  <cols>
    <col min="1" max="16384" width="9.06640625" style="18"/>
  </cols>
  <sheetData>
    <row r="3" spans="2:8" x14ac:dyDescent="0.45">
      <c r="B3" s="54" t="s">
        <v>81</v>
      </c>
      <c r="C3" s="54"/>
      <c r="D3" s="54"/>
      <c r="E3" s="54"/>
      <c r="F3" s="54"/>
    </row>
    <row r="4" spans="2:8" x14ac:dyDescent="0.45">
      <c r="B4" s="54"/>
      <c r="C4" s="54"/>
      <c r="D4" s="54"/>
      <c r="E4" s="54"/>
      <c r="F4" s="54"/>
    </row>
    <row r="5" spans="2:8" ht="14.65" thickBot="1" x14ac:dyDescent="0.5">
      <c r="B5" s="52" t="s">
        <v>30</v>
      </c>
      <c r="C5" s="33"/>
      <c r="D5" s="33"/>
      <c r="E5" s="33"/>
      <c r="F5" s="33"/>
      <c r="G5" s="33"/>
      <c r="H5" s="33"/>
    </row>
  </sheetData>
  <mergeCells count="1">
    <mergeCell ref="B3:F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Sales Forecast </vt:lpstr>
      <vt:lpstr>Cash Budget</vt:lpstr>
      <vt:lpstr>Reciepts</vt:lpstr>
      <vt:lpstr>Disbursements</vt:lpstr>
      <vt:lpstr>Summary</vt:lpstr>
      <vt:lpstr>Graphs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William LaMonica-Sleczkowski</dc:creator>
  <cp:keywords/>
  <dc:description/>
  <cp:lastModifiedBy>William LaMonica-Sleczkowski</cp:lastModifiedBy>
  <cp:revision/>
  <dcterms:created xsi:type="dcterms:W3CDTF">2023-03-19T21:02:57Z</dcterms:created>
  <dcterms:modified xsi:type="dcterms:W3CDTF">2023-04-05T02:02:08Z</dcterms:modified>
  <cp:category/>
  <cp:contentStatus/>
</cp:coreProperties>
</file>